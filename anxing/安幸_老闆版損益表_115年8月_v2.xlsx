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覽" sheetId="1" state="visible" r:id="rId3"/>
    <sheet name="老闆總表" sheetId="2" state="visible" r:id="rId4"/>
    <sheet name="Jim個人" sheetId="3" state="visible" r:id="rId5"/>
    <sheet name="報表數據" sheetId="4" state="visible" r:id="rId6"/>
    <sheet name="調整明細" sheetId="5" state="visible" r:id="rId7"/>
    <sheet name="薪資明細" sheetId="6" state="visible" r:id="rId8"/>
    <sheet name="說明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<sst xmlns="http://schemas.openxmlformats.org/spreadsheetml/2006/main" count="242" uniqueCount="154">
  <si>
    <t xml:space="preserve">安幸有限公司 ・ 老闆版損益</t>
  </si>
  <si>
    <r>
      <rPr>
        <sz val="9"/>
        <color rgb="FF9A9284"/>
        <rFont val="Microsoft JhengHei"/>
        <family val="0"/>
        <charset val="1"/>
      </rPr>
      <t xml:space="preserve">115 </t>
    </r>
    <r>
      <rPr>
        <sz val="9"/>
        <color rgb="FF9A9284"/>
        <rFont val="Noto Sans CJK SC"/>
        <family val="2"/>
      </rPr>
      <t xml:space="preserve">年 </t>
    </r>
    <r>
      <rPr>
        <sz val="9"/>
        <color rgb="FF9A9284"/>
        <rFont val="Microsoft JhengHei"/>
        <family val="0"/>
        <charset val="1"/>
      </rPr>
      <t xml:space="preserve">8 </t>
    </r>
    <r>
      <rPr>
        <sz val="9"/>
        <color rgb="FF9A9284"/>
        <rFont val="Noto Sans CJK SC"/>
        <family val="2"/>
      </rPr>
      <t xml:space="preserve">月 ・ 單位</t>
    </r>
    <r>
      <rPr>
        <sz val="9"/>
        <color rgb="FF9A9284"/>
        <rFont val="Microsoft JhengHei"/>
        <family val="0"/>
        <charset val="1"/>
      </rPr>
      <t xml:space="preserve">:</t>
    </r>
    <r>
      <rPr>
        <sz val="9"/>
        <color rgb="FF9A9284"/>
        <rFont val="Noto Sans CJK SC"/>
        <family val="2"/>
      </rPr>
      <t xml:space="preserve">新台幣元 ・ 內部文件 ・ 全表連動「老闆總表」</t>
    </r>
  </si>
  <si>
    <t xml:space="preserve">實際營收</t>
  </si>
  <si>
    <t xml:space="preserve">實際成本</t>
  </si>
  <si>
    <t xml:space="preserve">實際損益</t>
  </si>
  <si>
    <t xml:space="preserve">利潤率</t>
  </si>
  <si>
    <r>
      <rPr>
        <sz val="9.5"/>
        <color rgb="FF4A443B"/>
        <rFont val="Microsoft JhengHei"/>
        <family val="0"/>
        <charset val="1"/>
      </rPr>
      <t xml:space="preserve">Jim </t>
    </r>
    <r>
      <rPr>
        <sz val="9.5"/>
        <color rgb="FF4A443B"/>
        <rFont val="Noto Sans CJK SC"/>
        <family val="2"/>
      </rPr>
      <t xml:space="preserve">實拿</t>
    </r>
  </si>
  <si>
    <t xml:space="preserve">— 圖表 ・ 各案子表現</t>
  </si>
  <si>
    <t xml:space="preserve">— 洞察 ・ 三行看懂本月</t>
  </si>
  <si>
    <t xml:space="preserve">① 正隆一根柱子:貢獻 80.2% 的實際營收與 80.6% 的損益——集中度既是引擎,也是第一風險。</t>
  </si>
  <si>
    <t xml:space="preserve">② 三個負數:安幸辦公室 −125,603(薪資中樞屬性:441,374 薪資全列此、內部僅回收 178,000,屬結構性,非經營惡化)、JPR −17,508、復興 −8,533(本月零營收)。</t>
  </si>
  <si>
    <r>
      <rPr>
        <sz val="10"/>
        <color rgb="FF4A443B"/>
        <rFont val="Microsoft JhengHei"/>
        <family val="0"/>
        <charset val="1"/>
      </rPr>
      <t xml:space="preserve">③ Jim </t>
    </r>
    <r>
      <rPr>
        <sz val="10"/>
        <color rgb="FF4A443B"/>
        <rFont val="Noto Sans CJK SC"/>
        <family val="2"/>
      </rPr>
      <t xml:space="preserve">實拿 </t>
    </r>
    <r>
      <rPr>
        <sz val="10"/>
        <color rgb="FF4A443B"/>
        <rFont val="Microsoft JhengHei"/>
        <family val="0"/>
        <charset val="1"/>
      </rPr>
      <t xml:space="preserve">865,617,</t>
    </r>
    <r>
      <rPr>
        <sz val="10"/>
        <color rgb="FF4A443B"/>
        <rFont val="Noto Sans CJK SC"/>
        <family val="2"/>
      </rPr>
      <t xml:space="preserve">佔全案損益 </t>
    </r>
    <r>
      <rPr>
        <sz val="10"/>
        <color rgb="FF4A443B"/>
        <rFont val="Microsoft JhengHei"/>
        <family val="0"/>
        <charset val="1"/>
      </rPr>
      <t xml:space="preserve">54.6%;</t>
    </r>
    <r>
      <rPr>
        <sz val="10"/>
        <color rgb="FF4A443B"/>
        <rFont val="Noto Sans CJK SC"/>
        <family val="2"/>
      </rPr>
      <t xml:space="preserve">其中正隆一案就佔 </t>
    </r>
    <r>
      <rPr>
        <sz val="10"/>
        <color rgb="FF4A443B"/>
        <rFont val="Microsoft JhengHei"/>
        <family val="0"/>
        <charset val="1"/>
      </rPr>
      <t xml:space="preserve">Jim </t>
    </r>
    <r>
      <rPr>
        <sz val="10"/>
        <color rgb="FF4A443B"/>
        <rFont val="Noto Sans CJK SC"/>
        <family val="2"/>
      </rPr>
      <t xml:space="preserve">實拿的 </t>
    </r>
    <r>
      <rPr>
        <sz val="10"/>
        <color rgb="FF4A443B"/>
        <rFont val="Microsoft JhengHei"/>
        <family val="0"/>
        <charset val="1"/>
      </rPr>
      <t xml:space="preserve">73.8%——</t>
    </r>
    <r>
      <rPr>
        <sz val="10"/>
        <color rgb="FF4A443B"/>
        <rFont val="Noto Sans CJK SC"/>
        <family val="2"/>
      </rPr>
      <t xml:space="preserve">正隆的月租攻堅</t>
    </r>
    <r>
      <rPr>
        <sz val="10"/>
        <color rgb="FF4A443B"/>
        <rFont val="Microsoft JhengHei"/>
        <family val="0"/>
        <charset val="1"/>
      </rPr>
      <t xml:space="preserve">,</t>
    </r>
    <r>
      <rPr>
        <sz val="10"/>
        <color rgb="FF4A443B"/>
        <rFont val="Noto Sans CJK SC"/>
        <family val="2"/>
      </rPr>
      <t xml:space="preserve">直接攻的是你的口袋。</t>
    </r>
  </si>
  <si>
    <t xml:space="preserve">— 圖表 ・ 各案子利潤率</t>
  </si>
  <si>
    <r>
      <rPr>
        <sz val="8.5"/>
        <color rgb="FFA49E94"/>
        <rFont val="Microsoft JhengHei"/>
        <family val="0"/>
        <charset val="1"/>
      </rPr>
      <t xml:space="preserve">ESTIA </t>
    </r>
    <r>
      <rPr>
        <sz val="8.5"/>
        <color rgb="FFA49E94"/>
        <rFont val="Noto Sans CJK SC"/>
        <family val="2"/>
      </rPr>
      <t xml:space="preserve">樣式 ・ 安幸內部文件 ・ 圖表與 </t>
    </r>
    <r>
      <rPr>
        <sz val="8.5"/>
        <color rgb="FFA49E94"/>
        <rFont val="Microsoft JhengHei"/>
        <family val="0"/>
        <charset val="1"/>
      </rPr>
      <t xml:space="preserve">KPI </t>
    </r>
    <r>
      <rPr>
        <sz val="8.5"/>
        <color rgb="FFA49E94"/>
        <rFont val="Noto Sans CJK SC"/>
        <family val="2"/>
      </rPr>
      <t xml:space="preserve">全數連動</t>
    </r>
    <r>
      <rPr>
        <sz val="8.5"/>
        <color rgb="FFA49E94"/>
        <rFont val="Microsoft JhengHei"/>
        <family val="0"/>
        <charset val="1"/>
      </rPr>
      <t xml:space="preserve">,</t>
    </r>
    <r>
      <rPr>
        <sz val="8.5"/>
        <color rgb="FFA49E94"/>
        <rFont val="Noto Sans CJK SC"/>
        <family val="2"/>
      </rPr>
      <t xml:space="preserve">改藍字自動更新</t>
    </r>
  </si>
  <si>
    <t xml:space="preserve">安幸 ・ 各案子實際損益</t>
  </si>
  <si>
    <r>
      <rPr>
        <sz val="9"/>
        <color rgb="FF9A9284"/>
        <rFont val="Microsoft JhengHei"/>
        <family val="0"/>
        <charset val="1"/>
      </rPr>
      <t xml:space="preserve">115 </t>
    </r>
    <r>
      <rPr>
        <sz val="9"/>
        <color rgb="FF9A9284"/>
        <rFont val="Noto Sans CJK SC"/>
        <family val="2"/>
      </rPr>
      <t xml:space="preserve">年 </t>
    </r>
    <r>
      <rPr>
        <sz val="9"/>
        <color rgb="FF9A9284"/>
        <rFont val="Microsoft JhengHei"/>
        <family val="0"/>
        <charset val="1"/>
      </rPr>
      <t xml:space="preserve">8 </t>
    </r>
    <r>
      <rPr>
        <sz val="9"/>
        <color rgb="FF9A9284"/>
        <rFont val="Noto Sans CJK SC"/>
        <family val="2"/>
      </rPr>
      <t xml:space="preserve">月 ・ 單位</t>
    </r>
    <r>
      <rPr>
        <sz val="9"/>
        <color rgb="FF9A9284"/>
        <rFont val="Microsoft JhengHei"/>
        <family val="0"/>
        <charset val="1"/>
      </rPr>
      <t xml:space="preserve">:</t>
    </r>
    <r>
      <rPr>
        <sz val="9"/>
        <color rgb="FF9A9284"/>
        <rFont val="Noto Sans CJK SC"/>
        <family val="2"/>
      </rPr>
      <t xml:space="preserve">新台幣元 ・ 公司報表 </t>
    </r>
    <r>
      <rPr>
        <sz val="9"/>
        <color rgb="FF9A9284"/>
        <rFont val="Microsoft JhengHei"/>
        <family val="0"/>
        <charset val="1"/>
      </rPr>
      <t xml:space="preserve">+ </t>
    </r>
    <r>
      <rPr>
        <sz val="9"/>
        <color rgb="FF9A9284"/>
        <rFont val="Noto Sans CJK SC"/>
        <family val="2"/>
      </rPr>
      <t xml:space="preserve">老闆版調整 ・ 藍字可改、其餘公式連動</t>
    </r>
  </si>
  <si>
    <t xml:space="preserve">案子</t>
  </si>
  <si>
    <t xml:space="preserve">報表營業收入</t>
  </si>
  <si>
    <t xml:space="preserve">營收調整</t>
  </si>
  <si>
    <t xml:space="preserve">實際營業收入</t>
  </si>
  <si>
    <t xml:space="preserve">報表營運費用</t>
  </si>
  <si>
    <t xml:space="preserve">成本調整</t>
  </si>
  <si>
    <t xml:space="preserve">加:付房東租金</t>
  </si>
  <si>
    <t xml:space="preserve">加:付安幸辦公室</t>
  </si>
  <si>
    <t xml:space="preserve">加:薪資獎金</t>
  </si>
  <si>
    <t xml:space="preserve">實際總成本</t>
  </si>
  <si>
    <t xml:space="preserve">本月調整說明</t>
  </si>
  <si>
    <t xml:space="preserve">正隆</t>
  </si>
  <si>
    <t xml:space="preserve">無調整</t>
  </si>
  <si>
    <t xml:space="preserve">時兆</t>
  </si>
  <si>
    <t xml:space="preserve">加 每月付安幸辦公室薪資 90,000</t>
  </si>
  <si>
    <t xml:space="preserve">開封</t>
  </si>
  <si>
    <t xml:space="preserve">加 每月付安幸辦公室人事費 48,000</t>
  </si>
  <si>
    <t xml:space="preserve">南京</t>
  </si>
  <si>
    <t xml:space="preserve">加 南京5 房東租金 25,000</t>
  </si>
  <si>
    <t xml:space="preserve">JPR</t>
  </si>
  <si>
    <t xml:space="preserve">加 房東租金 42,000 + 每月付安幸辦公室 40,000</t>
  </si>
  <si>
    <t xml:space="preserve">台視</t>
  </si>
  <si>
    <t xml:space="preserve">加 房東租金 30,000</t>
  </si>
  <si>
    <t xml:space="preserve">亞曼尼</t>
  </si>
  <si>
    <r>
      <rPr>
        <sz val="10"/>
        <color rgb="FF4A443B"/>
        <rFont val="Microsoft JhengHei"/>
        <family val="0"/>
        <charset val="1"/>
      </rPr>
      <t xml:space="preserve">Jim </t>
    </r>
    <r>
      <rPr>
        <sz val="10"/>
        <color rgb="FF4A443B"/>
        <rFont val="Noto Sans CJK SC"/>
        <family val="2"/>
      </rPr>
      <t xml:space="preserve">只收營業額 </t>
    </r>
    <r>
      <rPr>
        <sz val="10"/>
        <color rgb="FF4A443B"/>
        <rFont val="Microsoft JhengHei"/>
        <family val="0"/>
        <charset val="1"/>
      </rPr>
      <t xml:space="preserve">30%(1,723)+</t>
    </r>
    <r>
      <rPr>
        <sz val="10"/>
        <color rgb="FF4A443B"/>
        <rFont val="Noto Sans CJK SC"/>
        <family val="2"/>
      </rPr>
      <t xml:space="preserve">房東付的清潔費 </t>
    </r>
    <r>
      <rPr>
        <sz val="10"/>
        <color rgb="FF4A443B"/>
        <rFont val="Microsoft JhengHei"/>
        <family val="0"/>
        <charset val="1"/>
      </rPr>
      <t xml:space="preserve">800;</t>
    </r>
    <r>
      <rPr>
        <sz val="10"/>
        <color rgb="FF4A443B"/>
        <rFont val="Noto Sans CJK SC"/>
        <family val="2"/>
      </rPr>
      <t xml:space="preserve">報表費用 </t>
    </r>
    <r>
      <rPr>
        <sz val="10"/>
        <color rgb="FF4A443B"/>
        <rFont val="Microsoft JhengHei"/>
        <family val="0"/>
        <charset val="1"/>
      </rPr>
      <t xml:space="preserve">2,820 </t>
    </r>
    <r>
      <rPr>
        <sz val="10"/>
        <color rgb="FF4A443B"/>
        <rFont val="Noto Sans CJK SC"/>
        <family val="2"/>
      </rPr>
      <t xml:space="preserve">全部不歸 </t>
    </r>
    <r>
      <rPr>
        <sz val="10"/>
        <color rgb="FF4A443B"/>
        <rFont val="Microsoft JhengHei"/>
        <family val="0"/>
        <charset val="1"/>
      </rPr>
      <t xml:space="preserve">Jim</t>
    </r>
  </si>
  <si>
    <t xml:space="preserve">復興</t>
  </si>
  <si>
    <t xml:space="preserve">無調整(本月無營收)</t>
  </si>
  <si>
    <t xml:space="preserve">安幸辦公室</t>
  </si>
  <si>
    <t xml:space="preserve">加 內部收入 178,000(JPR 40,000+開封 48,000+時兆 90,000);亞曼尼清潔費 800 移至亞曼尼;加 8 月薪資 421,874+獎金 19,500</t>
  </si>
  <si>
    <t xml:space="preserve">合計</t>
  </si>
  <si>
    <t xml:space="preserve">內部往來(各案子付安幸辦公室的清潔/人事/管理費)在合計中自動抵銷</t>
  </si>
  <si>
    <r>
      <rPr>
        <b val="true"/>
        <sz val="15"/>
        <color rgb="FFF4F0E8"/>
        <rFont val="Microsoft JhengHei"/>
        <family val="0"/>
        <charset val="1"/>
      </rPr>
      <t xml:space="preserve">Jim </t>
    </r>
    <r>
      <rPr>
        <b val="true"/>
        <sz val="15"/>
        <color rgb="FFF4F0E8"/>
        <rFont val="Noto Sans CJK SC"/>
        <family val="2"/>
      </rPr>
      <t xml:space="preserve">個人實拿</t>
    </r>
  </si>
  <si>
    <r>
      <rPr>
        <sz val="9"/>
        <color rgb="FF9A9284"/>
        <rFont val="Microsoft JhengHei"/>
        <family val="0"/>
        <charset val="1"/>
      </rPr>
      <t xml:space="preserve">115 </t>
    </r>
    <r>
      <rPr>
        <sz val="9"/>
        <color rgb="FF9A9284"/>
        <rFont val="Noto Sans CJK SC"/>
        <family val="2"/>
      </rPr>
      <t xml:space="preserve">年 </t>
    </r>
    <r>
      <rPr>
        <sz val="9"/>
        <color rgb="FF9A9284"/>
        <rFont val="Microsoft JhengHei"/>
        <family val="0"/>
        <charset val="1"/>
      </rPr>
      <t xml:space="preserve">8 </t>
    </r>
    <r>
      <rPr>
        <sz val="9"/>
        <color rgb="FF9A9284"/>
        <rFont val="Noto Sans CJK SC"/>
        <family val="2"/>
      </rPr>
      <t xml:space="preserve">月 ・ 依持股比例 ・ 持股</t>
    </r>
    <r>
      <rPr>
        <sz val="9"/>
        <color rgb="FF9A9284"/>
        <rFont val="Microsoft JhengHei"/>
        <family val="0"/>
        <charset val="1"/>
      </rPr>
      <t xml:space="preserve">(</t>
    </r>
    <r>
      <rPr>
        <sz val="9"/>
        <color rgb="FF9A9284"/>
        <rFont val="Noto Sans CJK SC"/>
        <family val="2"/>
      </rPr>
      <t xml:space="preserve">藍字</t>
    </r>
    <r>
      <rPr>
        <sz val="9"/>
        <color rgb="FF9A9284"/>
        <rFont val="Microsoft JhengHei"/>
        <family val="0"/>
        <charset val="1"/>
      </rPr>
      <t xml:space="preserve">)</t>
    </r>
    <r>
      <rPr>
        <sz val="9"/>
        <color rgb="FF9A9284"/>
        <rFont val="Noto Sans CJK SC"/>
        <family val="2"/>
      </rPr>
      <t xml:space="preserve">可改</t>
    </r>
    <r>
      <rPr>
        <sz val="9"/>
        <color rgb="FF9A9284"/>
        <rFont val="Microsoft JhengHei"/>
        <family val="0"/>
        <charset val="1"/>
      </rPr>
      <t xml:space="preserve">,</t>
    </r>
    <r>
      <rPr>
        <sz val="9"/>
        <color rgb="FF9A9284"/>
        <rFont val="Noto Sans CJK SC"/>
        <family val="2"/>
      </rPr>
      <t xml:space="preserve">其餘公式連動</t>
    </r>
  </si>
  <si>
    <t xml:space="preserve">實際損益(案子全額)</t>
  </si>
  <si>
    <r>
      <rPr>
        <b val="true"/>
        <sz val="9.5"/>
        <color rgb="FFF4F0E8"/>
        <rFont val="Microsoft JhengHei"/>
        <family val="0"/>
        <charset val="1"/>
      </rPr>
      <t xml:space="preserve">Jim </t>
    </r>
    <r>
      <rPr>
        <b val="true"/>
        <sz val="9.5"/>
        <color rgb="FFF4F0E8"/>
        <rFont val="Noto Sans CJK SC"/>
        <family val="2"/>
      </rPr>
      <t xml:space="preserve">持股</t>
    </r>
  </si>
  <si>
    <r>
      <rPr>
        <b val="true"/>
        <sz val="9.5"/>
        <color rgb="FFF4F0E8"/>
        <rFont val="Microsoft JhengHei"/>
        <family val="0"/>
        <charset val="1"/>
      </rPr>
      <t xml:space="preserve">Jim </t>
    </r>
    <r>
      <rPr>
        <b val="true"/>
        <sz val="9.5"/>
        <color rgb="FFF4F0E8"/>
        <rFont val="Noto Sans CJK SC"/>
        <family val="2"/>
      </rPr>
      <t xml:space="preserve">實拿</t>
    </r>
  </si>
  <si>
    <t xml:space="preserve">其他股東分得</t>
  </si>
  <si>
    <t xml:space="preserve">備註</t>
  </si>
  <si>
    <t xml:space="preserve">50%</t>
  </si>
  <si>
    <t xml:space="preserve">100%</t>
  </si>
  <si>
    <t xml:space="preserve">54%</t>
  </si>
  <si>
    <r>
      <rPr>
        <sz val="10"/>
        <color rgb="FF4A443B"/>
        <rFont val="Microsoft JhengHei"/>
        <family val="0"/>
        <charset val="1"/>
      </rPr>
      <t xml:space="preserve">1/3(JPR+</t>
    </r>
    <r>
      <rPr>
        <sz val="10"/>
        <color rgb="FF4A443B"/>
        <rFont val="Noto Sans CJK SC"/>
        <family val="2"/>
      </rPr>
      <t xml:space="preserve">南京合併算 </t>
    </r>
    <r>
      <rPr>
        <sz val="10"/>
        <color rgb="FF4A443B"/>
        <rFont val="Microsoft JhengHei"/>
        <family val="0"/>
        <charset val="1"/>
      </rPr>
      <t xml:space="preserve">1/3)</t>
    </r>
  </si>
  <si>
    <r>
      <rPr>
        <sz val="10"/>
        <color rgb="FF4A443B"/>
        <rFont val="Microsoft JhengHei"/>
        <family val="0"/>
        <charset val="1"/>
      </rPr>
      <t xml:space="preserve">100%;</t>
    </r>
    <r>
      <rPr>
        <sz val="10"/>
        <color rgb="FF4A443B"/>
        <rFont val="Noto Sans CJK SC"/>
        <family val="2"/>
      </rPr>
      <t xml:space="preserve">收入</t>
    </r>
    <r>
      <rPr>
        <sz val="10"/>
        <color rgb="FF4A443B"/>
        <rFont val="Microsoft JhengHei"/>
        <family val="0"/>
        <charset val="1"/>
      </rPr>
      <t xml:space="preserve">=</t>
    </r>
    <r>
      <rPr>
        <sz val="10"/>
        <color rgb="FF4A443B"/>
        <rFont val="Noto Sans CJK SC"/>
        <family val="2"/>
      </rPr>
      <t xml:space="preserve">營業額 </t>
    </r>
    <r>
      <rPr>
        <sz val="10"/>
        <color rgb="FF4A443B"/>
        <rFont val="Microsoft JhengHei"/>
        <family val="0"/>
        <charset val="1"/>
      </rPr>
      <t xml:space="preserve">30%+</t>
    </r>
    <r>
      <rPr>
        <sz val="10"/>
        <color rgb="FF4A443B"/>
        <rFont val="Noto Sans CJK SC"/>
        <family val="2"/>
      </rPr>
      <t xml:space="preserve">房東付的清潔費</t>
    </r>
    <r>
      <rPr>
        <sz val="10"/>
        <color rgb="FF4A443B"/>
        <rFont val="Microsoft JhengHei"/>
        <family val="0"/>
        <charset val="1"/>
      </rPr>
      <t xml:space="preserve">,</t>
    </r>
    <r>
      <rPr>
        <sz val="10"/>
        <color rgb="FF4A443B"/>
        <rFont val="Noto Sans CJK SC"/>
        <family val="2"/>
      </rPr>
      <t xml:space="preserve">無成本</t>
    </r>
  </si>
  <si>
    <r>
      <rPr>
        <sz val="10"/>
        <color rgb="FF4A443B"/>
        <rFont val="Microsoft JhengHei"/>
        <family val="0"/>
        <charset val="1"/>
      </rPr>
      <t xml:space="preserve">100%;</t>
    </r>
    <r>
      <rPr>
        <sz val="10"/>
        <color rgb="FF4A443B"/>
        <rFont val="Noto Sans CJK SC"/>
        <family val="2"/>
      </rPr>
      <t xml:space="preserve">含 </t>
    </r>
    <r>
      <rPr>
        <sz val="10"/>
        <color rgb="FF4A443B"/>
        <rFont val="Microsoft JhengHei"/>
        <family val="0"/>
        <charset val="1"/>
      </rPr>
      <t xml:space="preserve">JPR/</t>
    </r>
    <r>
      <rPr>
        <sz val="10"/>
        <color rgb="FF4A443B"/>
        <rFont val="Noto Sans CJK SC"/>
        <family val="2"/>
      </rPr>
      <t xml:space="preserve">開封</t>
    </r>
    <r>
      <rPr>
        <sz val="10"/>
        <color rgb="FF4A443B"/>
        <rFont val="Microsoft JhengHei"/>
        <family val="0"/>
        <charset val="1"/>
      </rPr>
      <t xml:space="preserve">/</t>
    </r>
    <r>
      <rPr>
        <sz val="10"/>
        <color rgb="FF4A443B"/>
        <rFont val="Noto Sans CJK SC"/>
        <family val="2"/>
      </rPr>
      <t xml:space="preserve">時兆 每月付的內部收入</t>
    </r>
  </si>
  <si>
    <t xml:space="preserve">合計持股欄=Jim 實拿 ÷ 全部案子損益</t>
  </si>
  <si>
    <t xml:space="preserve">報表原始數據</t>
  </si>
  <si>
    <r>
      <rPr>
        <sz val="9"/>
        <color rgb="FF9A9284"/>
        <rFont val="Microsoft JhengHei"/>
        <family val="0"/>
        <charset val="1"/>
      </rPr>
      <t xml:space="preserve">115 </t>
    </r>
    <r>
      <rPr>
        <sz val="9"/>
        <color rgb="FF9A9284"/>
        <rFont val="Noto Sans CJK SC"/>
        <family val="2"/>
      </rPr>
      <t xml:space="preserve">年 </t>
    </r>
    <r>
      <rPr>
        <sz val="9"/>
        <color rgb="FF9A9284"/>
        <rFont val="Microsoft JhengHei"/>
        <family val="0"/>
        <charset val="1"/>
      </rPr>
      <t xml:space="preserve">8 </t>
    </r>
    <r>
      <rPr>
        <sz val="9"/>
        <color rgb="FF9A9284"/>
        <rFont val="Noto Sans CJK SC"/>
        <family val="2"/>
      </rPr>
      <t xml:space="preserve">月 ・ 藍字</t>
    </r>
    <r>
      <rPr>
        <sz val="9"/>
        <color rgb="FF9A9284"/>
        <rFont val="Microsoft JhengHei"/>
        <family val="0"/>
        <charset val="1"/>
      </rPr>
      <t xml:space="preserve">=</t>
    </r>
    <r>
      <rPr>
        <sz val="9"/>
        <color rgb="FF9A9284"/>
        <rFont val="Noto Sans CJK SC"/>
        <family val="2"/>
      </rPr>
      <t xml:space="preserve">自公司報表手填 ・ 改這裡</t>
    </r>
    <r>
      <rPr>
        <sz val="9"/>
        <color rgb="FF9A9284"/>
        <rFont val="Microsoft JhengHei"/>
        <family val="0"/>
        <charset val="1"/>
      </rPr>
      <t xml:space="preserve">,</t>
    </r>
    <r>
      <rPr>
        <sz val="9"/>
        <color rgb="FF9A9284"/>
        <rFont val="Noto Sans CJK SC"/>
        <family val="2"/>
      </rPr>
      <t xml:space="preserve">總表自動重算</t>
    </r>
  </si>
  <si>
    <t xml:space="preserve">報表營運損益</t>
  </si>
  <si>
    <t xml:space="preserve">來源檔案 / 備註</t>
  </si>
  <si>
    <t xml:space="preserve">正隆_收支報表_115年8月_FINAL_v4「收支總表」;保證金 200,000 屬融資往來,不計入</t>
  </si>
  <si>
    <t xml:space="preserve">各物業_收支報表_115年8月_v4「收支總覽」</t>
  </si>
  <si>
    <t xml:space="preserve">各物業_收支報表「收支總覽」;其中南京5營收 99,000</t>
  </si>
  <si>
    <t xml:space="preserve">各物業_收支報表「收支總覽」</t>
  </si>
  <si>
    <t xml:space="preserve">各物業_收支報表「收支總覽」;5,744 為亞曼尼總營業額</t>
  </si>
  <si>
    <t xml:space="preserve">各物業_收支報表「收支總覽」;本月無營收</t>
  </si>
  <si>
    <t xml:space="preserve">各物業_收支報表「收支總覽」;營收 287,510 皆為向各案子收取之房務清潔費 87,510 + 正隆房務人事費 200,000(內部往來)</t>
  </si>
  <si>
    <t xml:space="preserve">老闆版調整項目</t>
  </si>
  <si>
    <t xml:space="preserve">公司報表未列、只出現在本表的項目 ・ 藍字可改,總表自動重算</t>
  </si>
  <si>
    <t xml:space="preserve">調整類型</t>
  </si>
  <si>
    <t xml:space="preserve">項目</t>
  </si>
  <si>
    <t xml:space="preserve">金額</t>
  </si>
  <si>
    <t xml:space="preserve">計算方式 / 備註</t>
  </si>
  <si>
    <t xml:space="preserve">房東租金</t>
  </si>
  <si>
    <r>
      <rPr>
        <sz val="10"/>
        <color rgb="FF4A443B"/>
        <rFont val="Microsoft JhengHei"/>
        <family val="0"/>
        <charset val="1"/>
      </rPr>
      <t xml:space="preserve">JPR </t>
    </r>
    <r>
      <rPr>
        <sz val="10"/>
        <color rgb="FF4A443B"/>
        <rFont val="Noto Sans CJK SC"/>
        <family val="2"/>
      </rPr>
      <t xml:space="preserve">月租</t>
    </r>
    <r>
      <rPr>
        <sz val="10"/>
        <color rgb="FF4A443B"/>
        <rFont val="Microsoft JhengHei"/>
        <family val="0"/>
        <charset val="1"/>
      </rPr>
      <t xml:space="preserve">(</t>
    </r>
    <r>
      <rPr>
        <sz val="10"/>
        <color rgb="FF4A443B"/>
        <rFont val="Noto Sans CJK SC"/>
        <family val="2"/>
      </rPr>
      <t xml:space="preserve">付房東</t>
    </r>
    <r>
      <rPr>
        <sz val="10"/>
        <color rgb="FF4A443B"/>
        <rFont val="Microsoft JhengHei"/>
        <family val="0"/>
        <charset val="1"/>
      </rPr>
      <t xml:space="preserve">)</t>
    </r>
  </si>
  <si>
    <t xml:space="preserve">固定月租,依 Jim 提供</t>
  </si>
  <si>
    <t xml:space="preserve">南京5 月租(付房東)</t>
  </si>
  <si>
    <t xml:space="preserve">固定月租,依 Jim 提供;南京5 本月營收 99,000</t>
  </si>
  <si>
    <t xml:space="preserve">台視 月租(付房東)</t>
  </si>
  <si>
    <t xml:space="preserve">付安幸辦公室</t>
  </si>
  <si>
    <r>
      <rPr>
        <sz val="10"/>
        <color rgb="FF4A443B"/>
        <rFont val="Microsoft JhengHei"/>
        <family val="0"/>
        <charset val="1"/>
      </rPr>
      <t xml:space="preserve">JPR </t>
    </r>
    <r>
      <rPr>
        <sz val="10"/>
        <color rgb="FF4A443B"/>
        <rFont val="Noto Sans CJK SC"/>
        <family val="2"/>
      </rPr>
      <t xml:space="preserve">每月付安幸辦公室管理費</t>
    </r>
  </si>
  <si>
    <t xml:space="preserve">固定每月 40,000;對應安幸辦公室內部收入</t>
  </si>
  <si>
    <t xml:space="preserve">開封 每月付安幸辦公室人事費</t>
  </si>
  <si>
    <t xml:space="preserve">固定每月 48,000;公司報表已刪除的開封房務人事費 48,000 於此加回</t>
  </si>
  <si>
    <t xml:space="preserve">時兆 每月付安幸辦公室薪資</t>
  </si>
  <si>
    <t xml:space="preserve">固定每月 90,000;對應安幸辦公室內部收入</t>
  </si>
  <si>
    <t xml:space="preserve">內部收入:JPR 管理費</t>
  </si>
  <si>
    <t xml:space="preserve">對應:JPR 付安幸辦公室</t>
  </si>
  <si>
    <t xml:space="preserve">內部收入:開封 人事費</t>
  </si>
  <si>
    <t xml:space="preserve">對應:開封 付安幸辦公室</t>
  </si>
  <si>
    <t xml:space="preserve">內部收入:時兆 薪資</t>
  </si>
  <si>
    <t xml:space="preserve">對應:時兆 付安幸辦公室</t>
  </si>
  <si>
    <t xml:space="preserve">亞曼尼營業額 70% 歸屋主(安幸只抽 30%)</t>
  </si>
  <si>
    <t xml:space="preserve">安幸管理費收入 = 5,744 × 30% = 1,723;其餘 70% 不屬安幸營收,故以負數調整營收</t>
  </si>
  <si>
    <t xml:space="preserve">亞曼尼 清潔費收入(房東付給 Jim)</t>
  </si>
  <si>
    <r>
      <rPr>
        <sz val="10"/>
        <color rgb="FF4A443B"/>
        <rFont val="Microsoft JhengHei"/>
        <family val="0"/>
        <charset val="1"/>
      </rPr>
      <t xml:space="preserve">8/17 </t>
    </r>
    <r>
      <rPr>
        <sz val="10"/>
        <color rgb="FF4A443B"/>
        <rFont val="Noto Sans CJK SC"/>
        <family val="2"/>
      </rPr>
      <t xml:space="preserve">房務清潔 </t>
    </r>
    <r>
      <rPr>
        <sz val="10"/>
        <color rgb="FF4A443B"/>
        <rFont val="Microsoft JhengHei"/>
        <family val="0"/>
        <charset val="1"/>
      </rPr>
      <t xml:space="preserve">800,</t>
    </r>
    <r>
      <rPr>
        <sz val="10"/>
        <color rgb="FF4A443B"/>
        <rFont val="Noto Sans CJK SC"/>
        <family val="2"/>
      </rPr>
      <t xml:space="preserve">公司報表原列在安幸辦公室收入</t>
    </r>
    <r>
      <rPr>
        <sz val="10"/>
        <color rgb="FF4A443B"/>
        <rFont val="Microsoft JhengHei"/>
        <family val="0"/>
        <charset val="1"/>
      </rPr>
      <t xml:space="preserve">,</t>
    </r>
    <r>
      <rPr>
        <sz val="10"/>
        <color rgb="FF4A443B"/>
        <rFont val="Noto Sans CJK SC"/>
        <family val="2"/>
      </rPr>
      <t xml:space="preserve">移到亞曼尼案子</t>
    </r>
    <r>
      <rPr>
        <sz val="10"/>
        <color rgb="FF4A443B"/>
        <rFont val="Microsoft JhengHei"/>
        <family val="0"/>
        <charset val="1"/>
      </rPr>
      <t xml:space="preserve">;</t>
    </r>
    <r>
      <rPr>
        <sz val="10"/>
        <color rgb="FF4A443B"/>
        <rFont val="Noto Sans CJK SC"/>
        <family val="2"/>
      </rPr>
      <t xml:space="preserve">由下一列自安幸辦公室扣除</t>
    </r>
  </si>
  <si>
    <t xml:space="preserve">亞曼尼清潔費收入移至亞曼尼案子</t>
  </si>
  <si>
    <t xml:space="preserve">避免重複計算</t>
  </si>
  <si>
    <t xml:space="preserve">亞曼尼 全部費用不歸 Jim 負擔</t>
  </si>
  <si>
    <t xml:space="preserve">水費、大樓管理費、招待、備品、清潔 2,820 全部與 Jim 無關,自成本中全數扣除</t>
  </si>
  <si>
    <t xml:space="preserve">薪資</t>
  </si>
  <si>
    <r>
      <rPr>
        <sz val="10"/>
        <color rgb="FF4A443B"/>
        <rFont val="Microsoft JhengHei"/>
        <family val="0"/>
        <charset val="1"/>
      </rPr>
      <t xml:space="preserve">8 </t>
    </r>
    <r>
      <rPr>
        <sz val="10"/>
        <color rgb="FF4A443B"/>
        <rFont val="Noto Sans CJK SC"/>
        <family val="2"/>
      </rPr>
      <t xml:space="preserve">月薪資</t>
    </r>
    <r>
      <rPr>
        <sz val="10"/>
        <color rgb="FF4A443B"/>
        <rFont val="Microsoft JhengHei"/>
        <family val="0"/>
        <charset val="1"/>
      </rPr>
      <t xml:space="preserve">(</t>
    </r>
    <r>
      <rPr>
        <sz val="10"/>
        <color rgb="FF4A443B"/>
        <rFont val="Noto Sans CJK SC"/>
        <family val="2"/>
      </rPr>
      <t xml:space="preserve">薪轉戶 </t>
    </r>
    <r>
      <rPr>
        <sz val="10"/>
        <color rgb="FF4A443B"/>
        <rFont val="Microsoft JhengHei"/>
        <family val="0"/>
        <charset val="1"/>
      </rPr>
      <t xml:space="preserve">9 </t>
    </r>
    <r>
      <rPr>
        <sz val="10"/>
        <color rgb="FF4A443B"/>
        <rFont val="Noto Sans CJK SC"/>
        <family val="2"/>
      </rPr>
      <t xml:space="preserve">人</t>
    </r>
    <r>
      <rPr>
        <sz val="10"/>
        <color rgb="FF4A443B"/>
        <rFont val="Microsoft JhengHei"/>
        <family val="0"/>
        <charset val="1"/>
      </rPr>
      <t xml:space="preserve">)</t>
    </r>
  </si>
  <si>
    <t xml:space="preserve">來源:安幸有限公司薪轉戶.xls(9/11 撥款,屬 8 月薪資)</t>
  </si>
  <si>
    <r>
      <rPr>
        <sz val="10"/>
        <color rgb="FF4A443B"/>
        <rFont val="Microsoft JhengHei"/>
        <family val="0"/>
        <charset val="1"/>
      </rPr>
      <t xml:space="preserve">8 </t>
    </r>
    <r>
      <rPr>
        <sz val="10"/>
        <color rgb="FF4A443B"/>
        <rFont val="Noto Sans CJK SC"/>
        <family val="2"/>
      </rPr>
      <t xml:space="preserve">月獎金</t>
    </r>
    <r>
      <rPr>
        <sz val="10"/>
        <color rgb="FF4A443B"/>
        <rFont val="Microsoft JhengHei"/>
        <family val="0"/>
        <charset val="1"/>
      </rPr>
      <t xml:space="preserve">(4 </t>
    </r>
    <r>
      <rPr>
        <sz val="10"/>
        <color rgb="FF4A443B"/>
        <rFont val="Noto Sans CJK SC"/>
        <family val="2"/>
      </rPr>
      <t xml:space="preserve">人</t>
    </r>
    <r>
      <rPr>
        <sz val="10"/>
        <color rgb="FF4A443B"/>
        <rFont val="Microsoft JhengHei"/>
        <family val="0"/>
        <charset val="1"/>
      </rPr>
      <t xml:space="preserve">)</t>
    </r>
  </si>
  <si>
    <t xml:space="preserve">來源:安幸有限公司獎金.xls(9/16 撥款,屬 8 月獎金)</t>
  </si>
  <si>
    <r>
      <rPr>
        <b val="true"/>
        <sz val="15"/>
        <color rgb="FFF4F0E8"/>
        <rFont val="Microsoft JhengHei"/>
        <family val="0"/>
        <charset val="1"/>
      </rPr>
      <t xml:space="preserve">8 </t>
    </r>
    <r>
      <rPr>
        <b val="true"/>
        <sz val="15"/>
        <color rgb="FFF4F0E8"/>
        <rFont val="Noto Sans CJK SC"/>
        <family val="2"/>
      </rPr>
      <t xml:space="preserve">月薪資與獎金明細</t>
    </r>
  </si>
  <si>
    <t xml:space="preserve">僅供老闆參考 ・ 機密,勿外流</t>
  </si>
  <si>
    <t xml:space="preserve">⚠ 本頁含個人薪資資料,僅限 Jim 檢視</t>
  </si>
  <si>
    <t xml:space="preserve">類別</t>
  </si>
  <si>
    <t xml:space="preserve">撥款日</t>
  </si>
  <si>
    <t xml:space="preserve">員工姓名</t>
  </si>
  <si>
    <t xml:space="preserve">2026-09-11</t>
  </si>
  <si>
    <t xml:space="preserve">簡靜惠</t>
  </si>
  <si>
    <t xml:space="preserve">謝邵瑛</t>
  </si>
  <si>
    <t xml:space="preserve">張瓊月</t>
  </si>
  <si>
    <t xml:space="preserve">羅大偉</t>
  </si>
  <si>
    <t xml:space="preserve">王芊茹</t>
  </si>
  <si>
    <t xml:space="preserve">張家綺</t>
  </si>
  <si>
    <t xml:space="preserve">周庭玉</t>
  </si>
  <si>
    <t xml:space="preserve">唐筑萱</t>
  </si>
  <si>
    <t xml:space="preserve">游佳穎</t>
  </si>
  <si>
    <t xml:space="preserve">薪資小計</t>
  </si>
  <si>
    <t xml:space="preserve">獎金</t>
  </si>
  <si>
    <t xml:space="preserve">2026-09-16</t>
  </si>
  <si>
    <t xml:space="preserve">獎金小計</t>
  </si>
  <si>
    <t xml:space="preserve">薪資+獎金合計</t>
  </si>
  <si>
    <t xml:space="preserve">參數與說明</t>
  </si>
  <si>
    <t xml:space="preserve">本表邏輯 ・ 讀完再改數字</t>
  </si>
  <si>
    <t xml:space="preserve">參數</t>
  </si>
  <si>
    <t xml:space="preserve">亞曼尼 安幸管理費抽成比例 = 30%(調整明細內以金額呈現)</t>
  </si>
  <si>
    <t xml:space="preserve">說明</t>
  </si>
  <si>
    <t xml:space="preserve">1.</t>
  </si>
  <si>
    <t xml:space="preserve">本表為老闆內部版:在公司報表(正隆+各物業)基礎上,加入公司報表未列的三類項目——付房東的租金、8 月薪資獎金、亞曼尼營收調整。</t>
  </si>
  <si>
    <t xml:space="preserve">2.</t>
  </si>
  <si>
    <t xml:space="preserve">公司報表數字放「報表數據」(藍字),調整項目放「調整明細」(藍字);「老闆總表」以 SUMIFS 連動,改藍字即自動重算。「總覽」的圖表與 KPI 全部連動總表。</t>
  </si>
  <si>
    <t xml:space="preserve">3.</t>
  </si>
  <si>
    <t xml:space="preserve">薪資與獎金(合計 441,374)全數列在「安幸辦公室」下。各案子每月固定付安幸辦公室:JPR 40,000、開封 48,000、時兆 90,000——列為該案子成本、安幸辦公室內部收入,合計自動抵銷。</t>
  </si>
  <si>
    <t xml:space="preserve">4.</t>
  </si>
  <si>
    <t xml:space="preserve">正隆報表內已有「薪資勞務」366,600(含 6B2 仲介費 165,000、8/31 薪資 200,000、魏伊漪 1,600),其中 200,000 對應安幸辦公室「正隆房務人事費」收入,屬內部往來,本表未重複扣除。</t>
  </si>
  <si>
    <t xml:space="preserve">5.</t>
  </si>
  <si>
    <t xml:space="preserve">安幸辦公室營收 287,510 全部是向各案子收取的房務清潔/人事費(內部往來)——單看該案時,它的收入不是外部收入。</t>
  </si>
  <si>
    <t xml:space="preserve">6.</t>
  </si>
  <si>
    <t xml:space="preserve">亞曼尼:Jim 只收營業額 30% 管理費(1,723)與房東付的清潔費(800);報表上費用 2,820 全部不歸 Jim,已自成本扣除。清潔費 800 自安幸辦公室移列亞曼尼,合計不變。</t>
  </si>
  <si>
    <t xml:space="preserve">7.</t>
  </si>
  <si>
    <t xml:space="preserve">正隆裝潢保證金 200,000 屬押金性質(融資往來),不計入營運損益。</t>
  </si>
  <si>
    <t xml:space="preserve">8.</t>
  </si>
  <si>
    <t xml:space="preserve">各物業報表附註之 8/5 獎金 90,000 已自公司報表刪除;本表以薪轉戶與獎金檔實際撥款為準,未再加回。</t>
  </si>
  <si>
    <t xml:space="preserve">9.</t>
  </si>
  <si>
    <r>
      <rPr>
        <sz val="10"/>
        <color rgb="FF4A443B"/>
        <rFont val="Microsoft JhengHei"/>
        <family val="0"/>
        <charset val="1"/>
      </rPr>
      <t xml:space="preserve">Jim </t>
    </r>
    <r>
      <rPr>
        <sz val="10"/>
        <color rgb="FF4A443B"/>
        <rFont val="Noto Sans CJK SC"/>
        <family val="2"/>
      </rPr>
      <t xml:space="preserve">持股</t>
    </r>
    <r>
      <rPr>
        <sz val="10"/>
        <color rgb="FF4A443B"/>
        <rFont val="Microsoft JhengHei"/>
        <family val="0"/>
        <charset val="1"/>
      </rPr>
      <t xml:space="preserve">:</t>
    </r>
    <r>
      <rPr>
        <sz val="10"/>
        <color rgb="FF4A443B"/>
        <rFont val="Noto Sans CJK SC"/>
        <family val="2"/>
      </rPr>
      <t xml:space="preserve">正隆 </t>
    </r>
    <r>
      <rPr>
        <sz val="10"/>
        <color rgb="FF4A443B"/>
        <rFont val="Microsoft JhengHei"/>
        <family val="0"/>
        <charset val="1"/>
      </rPr>
      <t xml:space="preserve">50%</t>
    </r>
    <r>
      <rPr>
        <sz val="10"/>
        <color rgb="FF4A443B"/>
        <rFont val="Noto Sans CJK SC"/>
        <family val="2"/>
      </rPr>
      <t xml:space="preserve">、開封 </t>
    </r>
    <r>
      <rPr>
        <sz val="10"/>
        <color rgb="FF4A443B"/>
        <rFont val="Microsoft JhengHei"/>
        <family val="0"/>
        <charset val="1"/>
      </rPr>
      <t xml:space="preserve">54%</t>
    </r>
    <r>
      <rPr>
        <sz val="10"/>
        <color rgb="FF4A443B"/>
        <rFont val="Noto Sans CJK SC"/>
        <family val="2"/>
      </rPr>
      <t xml:space="preserve">、</t>
    </r>
    <r>
      <rPr>
        <sz val="10"/>
        <color rgb="FF4A443B"/>
        <rFont val="Microsoft JhengHei"/>
        <family val="0"/>
        <charset val="1"/>
      </rPr>
      <t xml:space="preserve">JPR </t>
    </r>
    <r>
      <rPr>
        <sz val="10"/>
        <color rgb="FF4A443B"/>
        <rFont val="Noto Sans CJK SC"/>
        <family val="2"/>
      </rPr>
      <t xml:space="preserve">與南京各 </t>
    </r>
    <r>
      <rPr>
        <sz val="10"/>
        <color rgb="FF4A443B"/>
        <rFont val="Microsoft JhengHei"/>
        <family val="0"/>
        <charset val="1"/>
      </rPr>
      <t xml:space="preserve">1/3,</t>
    </r>
    <r>
      <rPr>
        <sz val="10"/>
        <color rgb="FF4A443B"/>
        <rFont val="Noto Sans CJK SC"/>
        <family val="2"/>
      </rPr>
      <t xml:space="preserve">其餘 </t>
    </r>
    <r>
      <rPr>
        <sz val="10"/>
        <color rgb="FF4A443B"/>
        <rFont val="Microsoft JhengHei"/>
        <family val="0"/>
        <charset val="1"/>
      </rPr>
      <t xml:space="preserve">100%——</t>
    </r>
    <r>
      <rPr>
        <sz val="10"/>
        <color rgb="FF4A443B"/>
        <rFont val="Noto Sans CJK SC"/>
        <family val="2"/>
      </rPr>
      <t xml:space="preserve">可在「</t>
    </r>
    <r>
      <rPr>
        <sz val="10"/>
        <color rgb="FF4A443B"/>
        <rFont val="Microsoft JhengHei"/>
        <family val="0"/>
        <charset val="1"/>
      </rPr>
      <t xml:space="preserve">Jim</t>
    </r>
    <r>
      <rPr>
        <sz val="10"/>
        <color rgb="FF4A443B"/>
        <rFont val="Noto Sans CJK SC"/>
        <family val="2"/>
      </rPr>
      <t xml:space="preserve">個人」藍字欄修改。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</si>
</sst>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##"/>
    <numFmt numFmtId="168" formatCode="0%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4F0E8"/>
      <name val="Noto Sans CJK SC"/>
      <family val="2"/>
      <charset val="1"/>
    </font>
    <font>
      <sz val="9"/>
      <color rgb="FF9A9284"/>
      <name val="Microsoft JhengHei"/>
      <family val="0"/>
      <charset val="1"/>
    </font>
    <font>
      <sz val="9"/>
      <color rgb="FF9A9284"/>
      <name val="Noto Sans CJK SC"/>
      <family val="2"/>
    </font>
    <font>
      <sz val="9.5"/>
      <color rgb="FF4A443B"/>
      <name val="Noto Sans CJK SC"/>
      <family val="2"/>
      <charset val="1"/>
    </font>
    <font>
      <sz val="9.5"/>
      <color rgb="FF4A443B"/>
      <name val="Microsoft JhengHei"/>
      <family val="0"/>
      <charset val="1"/>
    </font>
    <font>
      <sz val="9.5"/>
      <color rgb="FF4A443B"/>
      <name val="Noto Sans CJK SC"/>
      <family val="2"/>
    </font>
    <font>
      <b val="true"/>
      <sz val="16"/>
      <color rgb="FF221D17"/>
      <name val="Microsoft JhengHei"/>
      <family val="0"/>
      <charset val="1"/>
    </font>
    <font>
      <b val="true"/>
      <sz val="16"/>
      <color rgb="FF8B6F47"/>
      <name val="Microsoft JhengHei"/>
      <family val="0"/>
      <charset val="1"/>
    </font>
    <font>
      <b val="true"/>
      <sz val="10"/>
      <color rgb="FF8B6F47"/>
      <name val="Noto Sans CJK SC"/>
      <family val="2"/>
      <charset val="1"/>
    </font>
    <font>
      <sz val="10"/>
      <color rgb="FF4A443B"/>
      <name val="Noto Sans CJK SC"/>
      <family val="2"/>
      <charset val="1"/>
    </font>
    <font>
      <sz val="10"/>
      <color rgb="FF4A443B"/>
      <name val="Microsoft JhengHei"/>
      <family val="0"/>
      <charset val="1"/>
    </font>
    <font>
      <sz val="10"/>
      <color rgb="FF4A443B"/>
      <name val="Noto Sans CJK SC"/>
      <family val="2"/>
    </font>
    <font>
      <sz val="8.5"/>
      <color rgb="FFA49E94"/>
      <name val="Microsoft JhengHei"/>
      <family val="0"/>
      <charset val="1"/>
    </font>
    <font>
      <sz val="8.5"/>
      <color rgb="FFA49E94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5"/>
      <color rgb="FFF4F0E8"/>
      <name val="Noto Sans CJK SC"/>
      <family val="2"/>
      <charset val="1"/>
    </font>
    <font>
      <b val="true"/>
      <sz val="9.5"/>
      <color rgb="FFF4F0E8"/>
      <name val="Noto Sans CJK SC"/>
      <family val="2"/>
      <charset val="1"/>
    </font>
    <font>
      <b val="true"/>
      <sz val="10"/>
      <color rgb="FF221D17"/>
      <name val="Noto Sans CJK SC"/>
      <family val="2"/>
      <charset val="1"/>
    </font>
    <font>
      <b val="true"/>
      <sz val="10"/>
      <color rgb="FF221D17"/>
      <name val="Microsoft JhengHei"/>
      <family val="0"/>
      <charset val="1"/>
    </font>
    <font>
      <b val="true"/>
      <sz val="10.5"/>
      <color rgb="FF221D17"/>
      <name val="Noto Sans CJK SC"/>
      <family val="2"/>
      <charset val="1"/>
    </font>
    <font>
      <b val="true"/>
      <sz val="10.5"/>
      <color rgb="FF221D17"/>
      <name val="Microsoft JhengHei"/>
      <family val="0"/>
      <charset val="1"/>
    </font>
    <font>
      <b val="true"/>
      <sz val="15"/>
      <color rgb="FFF4F0E8"/>
      <name val="Microsoft JhengHei"/>
      <family val="0"/>
      <charset val="1"/>
    </font>
    <font>
      <b val="true"/>
      <sz val="15"/>
      <color rgb="FFF4F0E8"/>
      <name val="Noto Sans CJK SC"/>
      <family val="2"/>
    </font>
    <font>
      <b val="true"/>
      <sz val="9.5"/>
      <color rgb="FFF4F0E8"/>
      <name val="Microsoft JhengHei"/>
      <family val="0"/>
      <charset val="1"/>
    </font>
    <font>
      <b val="true"/>
      <sz val="9.5"/>
      <color rgb="FFF4F0E8"/>
      <name val="Noto Sans CJK SC"/>
      <family val="2"/>
    </font>
    <font>
      <sz val="10"/>
      <color rgb="FF2F5496"/>
      <name val="Microsoft JhengHei"/>
      <family val="0"/>
      <charset val="1"/>
    </font>
    <font>
      <b val="true"/>
      <sz val="10"/>
      <color rgb="FF8B6F47"/>
      <name val="Microsoft JhengHei"/>
      <family val="0"/>
      <charset val="1"/>
    </font>
    <font>
      <sz val="9"/>
      <color rgb="FF9A9284"/>
      <name val="Noto Sans CJK SC"/>
      <family val="2"/>
      <charset val="1"/>
    </font>
    <font>
      <sz val="9.5"/>
      <color rgb="FF8B6F47"/>
      <name val="Noto Sans CJK SC"/>
      <family val="2"/>
      <charset val="1"/>
    </font>
    <font>
      <b val="true"/>
      <sz val="9.5"/>
      <color rgb="FFFFFFFF"/>
      <name val="Noto Sans CJK SC"/>
      <family val="2"/>
      <charset val="1"/>
    </font>
    <font>
      <b val="true"/>
      <sz val="11"/>
      <color rgb="FFF4F0E8"/>
      <name val="Noto Sans CJK SC"/>
      <family val="2"/>
      <charset val="1"/>
    </font>
    <font>
      <b val="true"/>
      <sz val="11"/>
      <color rgb="FFF4F0E8"/>
      <name val="Microsoft JhengHei"/>
      <family val="0"/>
      <charset val="1"/>
    </font>
    <font>
      <sz val="10"/>
      <color rgb="FF2F5496"/>
      <name val="Noto Sans CJK SC"/>
      <family val="2"/>
      <charset val="1"/>
    </font>
    <font>
      <sz val="10"/>
      <color rgb="FF8B6F47"/>
      <name val="Microsoft JhengHe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21D17"/>
        <bgColor rgb="FF003300"/>
      </patternFill>
    </fill>
    <fill>
      <patternFill patternType="solid">
        <fgColor rgb="FFE4DCCC"/>
        <bgColor rgb="FFDDD6C7"/>
      </patternFill>
    </fill>
    <fill>
      <patternFill patternType="solid">
        <fgColor rgb="FFFBF9F3"/>
        <bgColor rgb="FFFFFFFF"/>
      </patternFill>
    </fill>
    <fill>
      <patternFill patternType="solid">
        <fgColor rgb="FF8B6F47"/>
        <bgColor rgb="FF6B5B45"/>
      </patternFill>
    </fill>
    <fill>
      <patternFill patternType="solid">
        <fgColor rgb="FFA3543F"/>
        <bgColor rgb="FF8B6F4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6C7"/>
      </left>
      <right style="thin">
        <color rgb="FFDDD6C7"/>
      </right>
      <top style="thin">
        <color rgb="FFDDD6C7"/>
      </top>
      <bottom style="thin">
        <color rgb="FFDDD6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Microsoft JhengHei"/>
        <charset val="1"/>
        <family val="0"/>
        <color rgb="FFA3543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F47"/>
      <rgbColor rgb="FF800080"/>
      <rgbColor rgb="FF008080"/>
      <rgbColor rgb="FFC9BFAF"/>
      <rgbColor rgb="FF878787"/>
      <rgbColor rgb="FFA49E94"/>
      <rgbColor rgb="FFA3543F"/>
      <rgbColor rgb="FFFBF9F3"/>
      <rgbColor rgb="FFF4F0E8"/>
      <rgbColor rgb="FF660066"/>
      <rgbColor rgb="FFB89B72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DCCC"/>
      <rgbColor rgb="FFFFFF99"/>
      <rgbColor rgb="FF99CCFF"/>
      <rgbColor rgb="FFFF99CC"/>
      <rgbColor rgb="FFCC99FF"/>
      <rgbColor rgb="FFDDD6C7"/>
      <rgbColor rgb="FF3366FF"/>
      <rgbColor rgb="FF33CCCC"/>
      <rgbColor rgb="FF99CC00"/>
      <rgbColor rgb="FFFFCC00"/>
      <rgbColor rgb="FFFF9900"/>
      <rgbColor rgb="FFFF6600"/>
      <rgbColor rgb="FF4F81BD"/>
      <rgbColor rgb="FF9A9284"/>
      <rgbColor rgb="FF003366"/>
      <rgbColor rgb="FF8F887C"/>
      <rgbColor rgb="FF003300"/>
      <rgbColor rgb="FF221D17"/>
      <rgbColor rgb="FF993300"/>
      <rgbColor rgb="FF6B5B45"/>
      <rgbColor rgb="FF2F5496"/>
      <rgbColor rgb="FF4A4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各案子實際損益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老闆總表!K3</c:f>
              <c:strCache>
                <c:ptCount val="1"/>
                <c:pt idx="0">
                  <c:v>實際損益</c:v>
                </c:pt>
              </c:strCache>
            </c:strRef>
          </c:tx>
          <c:spPr>
            <a:solidFill>
              <a:srgbClr val="8b6f47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a3543f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a3543f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a3543f"/>
              </a:solidFill>
              <a:ln w="0">
                <a:noFill/>
              </a:ln>
            </c:spPr>
          </c:dPt>
          <c:dLbls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老闆總表!$A$4:$A$12</c:f>
              <c:strCache>
                <c:ptCount val="9"/>
                <c:pt idx="0">
                  <c:v>正隆</c:v>
                </c:pt>
                <c:pt idx="1">
                  <c:v>時兆</c:v>
                </c:pt>
                <c:pt idx="2">
                  <c:v>開封</c:v>
                </c:pt>
                <c:pt idx="3">
                  <c:v>南京</c:v>
                </c:pt>
                <c:pt idx="4">
                  <c:v>JPR</c:v>
                </c:pt>
                <c:pt idx="5">
                  <c:v>台視</c:v>
                </c:pt>
                <c:pt idx="6">
                  <c:v>亞曼尼</c:v>
                </c:pt>
                <c:pt idx="7">
                  <c:v>復興</c:v>
                </c:pt>
                <c:pt idx="8">
                  <c:v>安幸辦公室</c:v>
                </c:pt>
              </c:strCache>
            </c:strRef>
          </c:cat>
          <c:val>
            <c:numRef>
              <c:f>老闆總表!$K$4:$K$12</c:f>
              <c:numCache>
                <c:formatCode>#,##0.##</c:formatCode>
                <c:ptCount val="9"/>
                <c:pt idx="0">
                  <c:v>1276836</c:v>
                </c:pt>
                <c:pt idx="1">
                  <c:v>270422</c:v>
                </c:pt>
                <c:pt idx="2">
                  <c:v>60539</c:v>
                </c:pt>
                <c:pt idx="3">
                  <c:v>96255</c:v>
                </c:pt>
                <c:pt idx="4">
                  <c:v>-17508</c:v>
                </c:pt>
                <c:pt idx="5">
                  <c:v>29450</c:v>
                </c:pt>
                <c:pt idx="6">
                  <c:v>2523.2</c:v>
                </c:pt>
                <c:pt idx="7">
                  <c:v>-8533</c:v>
                </c:pt>
                <c:pt idx="8">
                  <c:v>-125603</c:v>
                </c:pt>
              </c:numCache>
            </c:numRef>
          </c:val>
        </c:ser>
        <c:gapWidth val="60"/>
        <c:overlap val="0"/>
        <c:axId val="88706977"/>
        <c:axId val="549395"/>
      </c:barChart>
      <c:catAx>
        <c:axId val="887069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395"/>
        <c:crosses val="autoZero"/>
        <c:auto val="1"/>
        <c:lblAlgn val="ctr"/>
        <c:lblOffset val="100"/>
        <c:noMultiLvlLbl val="0"/>
      </c:catAx>
      <c:valAx>
        <c:axId val="549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069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實際營收結構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老闆總表!D3</c:f>
              <c:strCache>
                <c:ptCount val="1"/>
                <c:pt idx="0">
                  <c:v>實際營業收入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8b6f4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21d17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49e9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9bfaf"/>
              </a:solidFill>
              <a:ln w="0">
                <a:noFill/>
              </a:ln>
            </c:spPr>
          </c:dPt>
          <c:dPt>
            <c:idx val="4"/>
            <c:spPr>
              <a:solidFill>
                <a:srgbClr val="6b5b45"/>
              </a:solidFill>
              <a:ln w="0">
                <a:noFill/>
              </a:ln>
            </c:spPr>
          </c:dPt>
          <c:dPt>
            <c:idx val="5"/>
            <c:spPr>
              <a:solidFill>
                <a:srgbClr val="e4dcc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a443b"/>
              </a:solidFill>
              <a:ln w="0">
                <a:noFill/>
              </a:ln>
            </c:spPr>
          </c:dPt>
          <c:dPt>
            <c:idx val="7"/>
            <c:spPr>
              <a:solidFill>
                <a:srgbClr val="b89b72"/>
              </a:solidFill>
              <a:ln w="0">
                <a:noFill/>
              </a:ln>
            </c:spPr>
          </c:dPt>
          <c:dPt>
            <c:idx val="8"/>
            <c:spPr>
              <a:solidFill>
                <a:srgbClr val="8f887c"/>
              </a:solidFill>
              <a:ln w="0">
                <a:noFill/>
              </a:ln>
            </c:spPr>
          </c:dPt>
          <c:dLbls>
            <c:numFmt formatCode="#,##0.##" sourceLinked="1"/>
            <c:dLbl>
              <c:idx val="0"/>
              <c:numFmt formatCode="#,##0.##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.##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.##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.##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.##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.##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.##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.##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numFmt formatCode="#,##0.##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老闆總表!$A$4:$A$12</c:f>
              <c:strCache>
                <c:ptCount val="9"/>
                <c:pt idx="0">
                  <c:v>正隆</c:v>
                </c:pt>
                <c:pt idx="1">
                  <c:v>時兆</c:v>
                </c:pt>
                <c:pt idx="2">
                  <c:v>開封</c:v>
                </c:pt>
                <c:pt idx="3">
                  <c:v>南京</c:v>
                </c:pt>
                <c:pt idx="4">
                  <c:v>JPR</c:v>
                </c:pt>
                <c:pt idx="5">
                  <c:v>台視</c:v>
                </c:pt>
                <c:pt idx="6">
                  <c:v>亞曼尼</c:v>
                </c:pt>
                <c:pt idx="7">
                  <c:v>復興</c:v>
                </c:pt>
                <c:pt idx="8">
                  <c:v>安幸辦公室</c:v>
                </c:pt>
              </c:strCache>
            </c:strRef>
          </c:cat>
          <c:val>
            <c:numRef>
              <c:f>老闆總表!$D$4:$D$12</c:f>
              <c:numCache>
                <c:formatCode>#,##0.##</c:formatCode>
                <c:ptCount val="9"/>
                <c:pt idx="0">
                  <c:v>7803072</c:v>
                </c:pt>
                <c:pt idx="1">
                  <c:v>815616</c:v>
                </c:pt>
                <c:pt idx="2">
                  <c:v>282930</c:v>
                </c:pt>
                <c:pt idx="3">
                  <c:v>214216</c:v>
                </c:pt>
                <c:pt idx="4">
                  <c:v>81777</c:v>
                </c:pt>
                <c:pt idx="5">
                  <c:v>68554</c:v>
                </c:pt>
                <c:pt idx="6">
                  <c:v>2523.2</c:v>
                </c:pt>
                <c:pt idx="7">
                  <c:v>0</c:v>
                </c:pt>
                <c:pt idx="8">
                  <c:v>464710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各案子利潤率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老闆總表!L3</c:f>
              <c:strCache>
                <c:ptCount val="1"/>
                <c:pt idx="0">
                  <c:v>利潤率</c:v>
                </c:pt>
              </c:strCache>
            </c:strRef>
          </c:tx>
          <c:spPr>
            <a:solidFill>
              <a:srgbClr val="a49e94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a3543f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a3543f"/>
              </a:solidFill>
              <a:ln w="0">
                <a:noFill/>
              </a:ln>
            </c:spPr>
          </c:dPt>
          <c:dLbls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老闆總表!$A$4:$A$12</c:f>
              <c:strCache>
                <c:ptCount val="9"/>
                <c:pt idx="0">
                  <c:v>正隆</c:v>
                </c:pt>
                <c:pt idx="1">
                  <c:v>時兆</c:v>
                </c:pt>
                <c:pt idx="2">
                  <c:v>開封</c:v>
                </c:pt>
                <c:pt idx="3">
                  <c:v>南京</c:v>
                </c:pt>
                <c:pt idx="4">
                  <c:v>JPR</c:v>
                </c:pt>
                <c:pt idx="5">
                  <c:v>台視</c:v>
                </c:pt>
                <c:pt idx="6">
                  <c:v>亞曼尼</c:v>
                </c:pt>
                <c:pt idx="7">
                  <c:v>復興</c:v>
                </c:pt>
                <c:pt idx="8">
                  <c:v>安幸辦公室</c:v>
                </c:pt>
              </c:strCache>
            </c:strRef>
          </c:cat>
          <c:val>
            <c:numRef>
              <c:f>老闆總表!$L$4:$L$12</c:f>
              <c:numCache>
                <c:formatCode>0.0%</c:formatCode>
                <c:ptCount val="9"/>
                <c:pt idx="0">
                  <c:v>0.163632477055191</c:v>
                </c:pt>
                <c:pt idx="1">
                  <c:v>0.331555535938481</c:v>
                </c:pt>
                <c:pt idx="2">
                  <c:v>0.213971653765949</c:v>
                </c:pt>
                <c:pt idx="3">
                  <c:v>0.449336184038541</c:v>
                </c:pt>
                <c:pt idx="4">
                  <c:v>-0.214094427528523</c:v>
                </c:pt>
                <c:pt idx="5">
                  <c:v>0.429588353706567</c:v>
                </c:pt>
                <c:pt idx="6">
                  <c:v>1</c:v>
                </c:pt>
                <c:pt idx="8">
                  <c:v>-0.270282541800263</c:v>
                </c:pt>
              </c:numCache>
            </c:numRef>
          </c:val>
        </c:ser>
        <c:gapWidth val="70"/>
        <c:overlap val="0"/>
        <c:axId val="40036343"/>
        <c:axId val="64263841"/>
      </c:barChart>
      <c:catAx>
        <c:axId val="400363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63841"/>
        <c:crosses val="autoZero"/>
        <c:auto val="1"/>
        <c:lblAlgn val="ctr"/>
        <c:lblOffset val="100"/>
        <c:noMultiLvlLbl val="0"/>
      </c:catAx>
      <c:valAx>
        <c:axId val="64263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363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8</xdr:col>
      <xdr:colOff>664200</xdr:colOff>
      <xdr:row>24</xdr:row>
      <xdr:rowOff>46440</xdr:rowOff>
    </xdr:to>
    <xdr:graphicFrame>
      <xdr:nvGraphicFramePr>
        <xdr:cNvPr id="0" name="Chart 1"/>
        <xdr:cNvGraphicFramePr/>
      </xdr:nvGraphicFramePr>
      <xdr:xfrm>
        <a:off x="141120" y="1771560"/>
        <a:ext cx="4822560" cy="309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8</xdr:row>
      <xdr:rowOff>0</xdr:rowOff>
    </xdr:from>
    <xdr:to>
      <xdr:col>14</xdr:col>
      <xdr:colOff>647280</xdr:colOff>
      <xdr:row>24</xdr:row>
      <xdr:rowOff>46440</xdr:rowOff>
    </xdr:to>
    <xdr:graphicFrame>
      <xdr:nvGraphicFramePr>
        <xdr:cNvPr id="1" name="Chart 2"/>
        <xdr:cNvGraphicFramePr/>
      </xdr:nvGraphicFramePr>
      <xdr:xfrm>
        <a:off x="4299480" y="1771560"/>
        <a:ext cx="4030560" cy="309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15</xdr:col>
      <xdr:colOff>609480</xdr:colOff>
      <xdr:row>48</xdr:row>
      <xdr:rowOff>114120</xdr:rowOff>
    </xdr:to>
    <xdr:graphicFrame>
      <xdr:nvGraphicFramePr>
        <xdr:cNvPr id="2" name="Chart 3"/>
        <xdr:cNvGraphicFramePr/>
      </xdr:nvGraphicFramePr>
      <xdr:xfrm>
        <a:off x="141120" y="6915240"/>
        <a:ext cx="8926560" cy="2590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6F47"/>
    <pageSetUpPr fitToPage="false"/>
  </sheetPr>
  <dimension ref="A1:O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1"/>
    <col collapsed="false" customWidth="true" hidden="false" outlineLevel="0" max="4" min="4" style="1" width="2"/>
    <col collapsed="false" customWidth="true" hidden="false" outlineLevel="0" max="6" min="5" style="1" width="11"/>
    <col collapsed="false" customWidth="true" hidden="false" outlineLevel="0" max="7" min="7" style="1" width="2"/>
    <col collapsed="false" customWidth="true" hidden="false" outlineLevel="0" max="9" min="8" style="1" width="11"/>
    <col collapsed="false" customWidth="true" hidden="false" outlineLevel="0" max="10" min="10" style="1" width="2"/>
    <col collapsed="false" customWidth="true" hidden="false" outlineLevel="0" max="12" min="11" style="1" width="11"/>
    <col collapsed="false" customWidth="true" hidden="false" outlineLevel="0" max="13" min="13" style="1" width="2"/>
    <col collapsed="false" customWidth="true" hidden="false" outlineLevel="0" max="15" min="14" style="1" width="11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15.75" hidden="false" customHeight="true" outlineLevel="0" collapsed="false">
      <c r="B4" s="4" t="s">
        <v>2</v>
      </c>
      <c r="C4" s="4"/>
      <c r="E4" s="4" t="s">
        <v>3</v>
      </c>
      <c r="F4" s="4"/>
      <c r="H4" s="4" t="s">
        <v>4</v>
      </c>
      <c r="I4" s="4"/>
      <c r="K4" s="4" t="s">
        <v>5</v>
      </c>
      <c r="L4" s="4"/>
      <c r="N4" s="5" t="s">
        <v>6</v>
      </c>
      <c r="O4" s="5"/>
    </row>
    <row r="5" customFormat="false" ht="19.5" hidden="false" customHeight="true" outlineLevel="0" collapsed="false">
      <c r="B5" s="6" t="n">
        <f aca="false">老闆總表!D13</f>
        <v>9733398.2</v>
      </c>
      <c r="C5" s="6"/>
      <c r="E5" s="6" t="n">
        <f aca="false">老闆總表!J13</f>
        <v>8149017</v>
      </c>
      <c r="F5" s="6"/>
      <c r="H5" s="7" t="n">
        <f aca="false">老闆總表!K13</f>
        <v>1584381.2</v>
      </c>
      <c r="I5" s="7"/>
      <c r="K5" s="8" t="n">
        <f aca="false">老闆總表!L13</f>
        <v>0.162777805597227</v>
      </c>
      <c r="L5" s="8"/>
      <c r="N5" s="7" t="n">
        <f aca="false">Jim個人!D13</f>
        <v>865617.26</v>
      </c>
      <c r="O5" s="7"/>
    </row>
    <row r="6" customFormat="false" ht="13.5" hidden="false" customHeight="true" outlineLevel="0" collapsed="false">
      <c r="B6" s="6"/>
      <c r="C6" s="6"/>
      <c r="E6" s="6"/>
      <c r="F6" s="6"/>
      <c r="H6" s="7"/>
      <c r="I6" s="7"/>
      <c r="K6" s="8"/>
      <c r="L6" s="8"/>
      <c r="N6" s="7"/>
      <c r="O6" s="7"/>
    </row>
    <row r="8" customFormat="false" ht="15" hidden="false" customHeight="true" outlineLevel="0" collapsed="false">
      <c r="B8" s="9" t="s">
        <v>7</v>
      </c>
    </row>
    <row r="27" customFormat="false" ht="15" hidden="false" customHeight="true" outlineLevel="0" collapsed="false">
      <c r="B27" s="9" t="s">
        <v>8</v>
      </c>
    </row>
    <row r="28" customFormat="false" ht="15" hidden="false" customHeight="true" outlineLevel="0" collapsed="false">
      <c r="B28" s="10" t="s">
        <v>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customFormat="false" ht="15" hidden="false" customHeight="true" outlineLevel="0" collapsed="false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customFormat="false" ht="15" hidden="false" customHeight="true" outlineLevel="0" collapsed="false">
      <c r="B30" s="10" t="s">
        <v>10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customFormat="false" ht="15" hidden="false" customHeight="true" outlineLevel="0" collapsed="false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customFormat="false" ht="15" hidden="false" customHeight="true" outlineLevel="0" collapsed="false">
      <c r="B32" s="11" t="s">
        <v>11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customFormat="false" ht="15" hidden="false" customHeight="true" outlineLevel="0" collapsed="false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5" customFormat="false" ht="15" hidden="false" customHeight="true" outlineLevel="0" collapsed="false">
      <c r="B35" s="9" t="s">
        <v>12</v>
      </c>
    </row>
    <row r="52" customFormat="false" ht="15" hidden="false" customHeight="true" outlineLevel="0" collapsed="false">
      <c r="B52" s="12" t="s">
        <v>13</v>
      </c>
    </row>
  </sheetData>
  <mergeCells count="15">
    <mergeCell ref="A1:O1"/>
    <mergeCell ref="A2:O2"/>
    <mergeCell ref="B4:C4"/>
    <mergeCell ref="E4:F4"/>
    <mergeCell ref="H4:I4"/>
    <mergeCell ref="K4:L4"/>
    <mergeCell ref="N4:O4"/>
    <mergeCell ref="B5:C6"/>
    <mergeCell ref="E5:F6"/>
    <mergeCell ref="H5:I6"/>
    <mergeCell ref="K5:L6"/>
    <mergeCell ref="N5:O6"/>
    <mergeCell ref="B28:O29"/>
    <mergeCell ref="B30:O31"/>
    <mergeCell ref="B32:O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49E94"/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3"/>
    <col collapsed="false" customWidth="true" hidden="false" outlineLevel="0" max="12" min="12" style="1" width="9"/>
    <col collapsed="false" customWidth="true" hidden="false" outlineLevel="0" max="13" min="13" style="1" width="46"/>
  </cols>
  <sheetData>
    <row r="1" customFormat="false" ht="25.5" hidden="false" customHeight="true" outlineLevel="0" collapsed="false">
      <c r="A1" s="13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5.75" hidden="false" customHeight="true" outlineLevel="0" collapsed="false">
      <c r="A2" s="3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0" hidden="false" customHeight="true" outlineLevel="0" collapsed="false">
      <c r="A3" s="14" t="s">
        <v>16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21</v>
      </c>
      <c r="G3" s="14" t="s">
        <v>22</v>
      </c>
      <c r="H3" s="14" t="s">
        <v>23</v>
      </c>
      <c r="I3" s="14" t="s">
        <v>24</v>
      </c>
      <c r="J3" s="14" t="s">
        <v>25</v>
      </c>
      <c r="K3" s="14" t="s">
        <v>4</v>
      </c>
      <c r="L3" s="14" t="s">
        <v>5</v>
      </c>
      <c r="M3" s="14" t="s">
        <v>26</v>
      </c>
    </row>
    <row r="4" customFormat="false" ht="30" hidden="false" customHeight="true" outlineLevel="0" collapsed="false">
      <c r="A4" s="15" t="s">
        <v>27</v>
      </c>
      <c r="B4" s="16" t="n">
        <f aca="false">SUMIFS(報表數據!B:B,報表數據!A:A,A4)</f>
        <v>7803072</v>
      </c>
      <c r="C4" s="17" t="n">
        <f aca="false">SUMIFS(調整明細!D:D,調整明細!A:A,A4,調整明細!B:B,"營收調整")</f>
        <v>0</v>
      </c>
      <c r="D4" s="17" t="n">
        <f aca="false">B4+C4</f>
        <v>7803072</v>
      </c>
      <c r="E4" s="17" t="n">
        <f aca="false">SUMIFS(報表數據!C:C,報表數據!A:A,A4)</f>
        <v>6526236</v>
      </c>
      <c r="F4" s="17" t="n">
        <f aca="false">SUMIFS(調整明細!D:D,調整明細!A:A,A4,調整明細!B:B,"成本調整")</f>
        <v>0</v>
      </c>
      <c r="G4" s="16" t="n">
        <f aca="false">SUMIFS(調整明細!D:D,調整明細!A:A,A4,調整明細!B:B,"房東租金")</f>
        <v>0</v>
      </c>
      <c r="H4" s="16" t="n">
        <f aca="false">SUMIFS(調整明細!D:D,調整明細!A:A,A4,調整明細!B:B,"付安幸辦公室")</f>
        <v>0</v>
      </c>
      <c r="I4" s="16" t="n">
        <f aca="false">SUMIFS(調整明細!D:D,調整明細!A:A,A4,調整明細!B:B,"薪資")</f>
        <v>0</v>
      </c>
      <c r="J4" s="17" t="n">
        <f aca="false">E4+F4+G4+H4+I4</f>
        <v>6526236</v>
      </c>
      <c r="K4" s="17" t="n">
        <f aca="false">D4-J4</f>
        <v>1276836</v>
      </c>
      <c r="L4" s="18" t="n">
        <f aca="false">IF(D4=0,"",K4/D4)</f>
        <v>0.163632477055191</v>
      </c>
      <c r="M4" s="19" t="s">
        <v>28</v>
      </c>
    </row>
    <row r="5" customFormat="false" ht="30" hidden="false" customHeight="true" outlineLevel="0" collapsed="false">
      <c r="A5" s="15" t="s">
        <v>29</v>
      </c>
      <c r="B5" s="16" t="n">
        <f aca="false">SUMIFS(報表數據!B:B,報表數據!A:A,A5)</f>
        <v>815616</v>
      </c>
      <c r="C5" s="17" t="n">
        <f aca="false">SUMIFS(調整明細!D:D,調整明細!A:A,A5,調整明細!B:B,"營收調整")</f>
        <v>0</v>
      </c>
      <c r="D5" s="17" t="n">
        <f aca="false">B5+C5</f>
        <v>815616</v>
      </c>
      <c r="E5" s="17" t="n">
        <f aca="false">SUMIFS(報表數據!C:C,報表數據!A:A,A5)</f>
        <v>455194</v>
      </c>
      <c r="F5" s="17" t="n">
        <f aca="false">SUMIFS(調整明細!D:D,調整明細!A:A,A5,調整明細!B:B,"成本調整")</f>
        <v>0</v>
      </c>
      <c r="G5" s="16" t="n">
        <f aca="false">SUMIFS(調整明細!D:D,調整明細!A:A,A5,調整明細!B:B,"房東租金")</f>
        <v>0</v>
      </c>
      <c r="H5" s="16" t="n">
        <f aca="false">SUMIFS(調整明細!D:D,調整明細!A:A,A5,調整明細!B:B,"付安幸辦公室")</f>
        <v>90000</v>
      </c>
      <c r="I5" s="16" t="n">
        <f aca="false">SUMIFS(調整明細!D:D,調整明細!A:A,A5,調整明細!B:B,"薪資")</f>
        <v>0</v>
      </c>
      <c r="J5" s="17" t="n">
        <f aca="false">E5+F5+G5+H5+I5</f>
        <v>545194</v>
      </c>
      <c r="K5" s="17" t="n">
        <f aca="false">D5-J5</f>
        <v>270422</v>
      </c>
      <c r="L5" s="18" t="n">
        <f aca="false">IF(D5=0,"",K5/D5)</f>
        <v>0.331555535938481</v>
      </c>
      <c r="M5" s="19" t="s">
        <v>30</v>
      </c>
    </row>
    <row r="6" customFormat="false" ht="30" hidden="false" customHeight="true" outlineLevel="0" collapsed="false">
      <c r="A6" s="15" t="s">
        <v>31</v>
      </c>
      <c r="B6" s="16" t="n">
        <f aca="false">SUMIFS(報表數據!B:B,報表數據!A:A,A6)</f>
        <v>282930</v>
      </c>
      <c r="C6" s="17" t="n">
        <f aca="false">SUMIFS(調整明細!D:D,調整明細!A:A,A6,調整明細!B:B,"營收調整")</f>
        <v>0</v>
      </c>
      <c r="D6" s="17" t="n">
        <f aca="false">B6+C6</f>
        <v>282930</v>
      </c>
      <c r="E6" s="17" t="n">
        <f aca="false">SUMIFS(報表數據!C:C,報表數據!A:A,A6)</f>
        <v>174391</v>
      </c>
      <c r="F6" s="17" t="n">
        <f aca="false">SUMIFS(調整明細!D:D,調整明細!A:A,A6,調整明細!B:B,"成本調整")</f>
        <v>0</v>
      </c>
      <c r="G6" s="16" t="n">
        <f aca="false">SUMIFS(調整明細!D:D,調整明細!A:A,A6,調整明細!B:B,"房東租金")</f>
        <v>0</v>
      </c>
      <c r="H6" s="16" t="n">
        <f aca="false">SUMIFS(調整明細!D:D,調整明細!A:A,A6,調整明細!B:B,"付安幸辦公室")</f>
        <v>48000</v>
      </c>
      <c r="I6" s="16" t="n">
        <f aca="false">SUMIFS(調整明細!D:D,調整明細!A:A,A6,調整明細!B:B,"薪資")</f>
        <v>0</v>
      </c>
      <c r="J6" s="17" t="n">
        <f aca="false">E6+F6+G6+H6+I6</f>
        <v>222391</v>
      </c>
      <c r="K6" s="17" t="n">
        <f aca="false">D6-J6</f>
        <v>60539</v>
      </c>
      <c r="L6" s="18" t="n">
        <f aca="false">IF(D6=0,"",K6/D6)</f>
        <v>0.213971653765949</v>
      </c>
      <c r="M6" s="19" t="s">
        <v>32</v>
      </c>
    </row>
    <row r="7" customFormat="false" ht="30" hidden="false" customHeight="true" outlineLevel="0" collapsed="false">
      <c r="A7" s="15" t="s">
        <v>33</v>
      </c>
      <c r="B7" s="16" t="n">
        <f aca="false">SUMIFS(報表數據!B:B,報表數據!A:A,A7)</f>
        <v>214216</v>
      </c>
      <c r="C7" s="17" t="n">
        <f aca="false">SUMIFS(調整明細!D:D,調整明細!A:A,A7,調整明細!B:B,"營收調整")</f>
        <v>0</v>
      </c>
      <c r="D7" s="17" t="n">
        <f aca="false">B7+C7</f>
        <v>214216</v>
      </c>
      <c r="E7" s="17" t="n">
        <f aca="false">SUMIFS(報表數據!C:C,報表數據!A:A,A7)</f>
        <v>92961</v>
      </c>
      <c r="F7" s="17" t="n">
        <f aca="false">SUMIFS(調整明細!D:D,調整明細!A:A,A7,調整明細!B:B,"成本調整")</f>
        <v>0</v>
      </c>
      <c r="G7" s="16" t="n">
        <f aca="false">SUMIFS(調整明細!D:D,調整明細!A:A,A7,調整明細!B:B,"房東租金")</f>
        <v>25000</v>
      </c>
      <c r="H7" s="16" t="n">
        <f aca="false">SUMIFS(調整明細!D:D,調整明細!A:A,A7,調整明細!B:B,"付安幸辦公室")</f>
        <v>0</v>
      </c>
      <c r="I7" s="16" t="n">
        <f aca="false">SUMIFS(調整明細!D:D,調整明細!A:A,A7,調整明細!B:B,"薪資")</f>
        <v>0</v>
      </c>
      <c r="J7" s="17" t="n">
        <f aca="false">E7+F7+G7+H7+I7</f>
        <v>117961</v>
      </c>
      <c r="K7" s="17" t="n">
        <f aca="false">D7-J7</f>
        <v>96255</v>
      </c>
      <c r="L7" s="18" t="n">
        <f aca="false">IF(D7=0,"",K7/D7)</f>
        <v>0.449336184038541</v>
      </c>
      <c r="M7" s="19" t="s">
        <v>34</v>
      </c>
    </row>
    <row r="8" customFormat="false" ht="30" hidden="false" customHeight="true" outlineLevel="0" collapsed="false">
      <c r="A8" s="20" t="s">
        <v>35</v>
      </c>
      <c r="B8" s="16" t="n">
        <f aca="false">SUMIFS(報表數據!B:B,報表數據!A:A,A8)</f>
        <v>81777</v>
      </c>
      <c r="C8" s="17" t="n">
        <f aca="false">SUMIFS(調整明細!D:D,調整明細!A:A,A8,調整明細!B:B,"營收調整")</f>
        <v>0</v>
      </c>
      <c r="D8" s="17" t="n">
        <f aca="false">B8+C8</f>
        <v>81777</v>
      </c>
      <c r="E8" s="17" t="n">
        <f aca="false">SUMIFS(報表數據!C:C,報表數據!A:A,A8)</f>
        <v>17285</v>
      </c>
      <c r="F8" s="17" t="n">
        <f aca="false">SUMIFS(調整明細!D:D,調整明細!A:A,A8,調整明細!B:B,"成本調整")</f>
        <v>0</v>
      </c>
      <c r="G8" s="16" t="n">
        <f aca="false">SUMIFS(調整明細!D:D,調整明細!A:A,A8,調整明細!B:B,"房東租金")</f>
        <v>42000</v>
      </c>
      <c r="H8" s="16" t="n">
        <f aca="false">SUMIFS(調整明細!D:D,調整明細!A:A,A8,調整明細!B:B,"付安幸辦公室")</f>
        <v>40000</v>
      </c>
      <c r="I8" s="16" t="n">
        <f aca="false">SUMIFS(調整明細!D:D,調整明細!A:A,A8,調整明細!B:B,"薪資")</f>
        <v>0</v>
      </c>
      <c r="J8" s="17" t="n">
        <f aca="false">E8+F8+G8+H8+I8</f>
        <v>99285</v>
      </c>
      <c r="K8" s="17" t="n">
        <f aca="false">D8-J8</f>
        <v>-17508</v>
      </c>
      <c r="L8" s="18" t="n">
        <f aca="false">IF(D8=0,"",K8/D8)</f>
        <v>-0.214094427528523</v>
      </c>
      <c r="M8" s="19" t="s">
        <v>36</v>
      </c>
    </row>
    <row r="9" customFormat="false" ht="30" hidden="false" customHeight="true" outlineLevel="0" collapsed="false">
      <c r="A9" s="15" t="s">
        <v>37</v>
      </c>
      <c r="B9" s="16" t="n">
        <f aca="false">SUMIFS(報表數據!B:B,報表數據!A:A,A9)</f>
        <v>68554</v>
      </c>
      <c r="C9" s="17" t="n">
        <f aca="false">SUMIFS(調整明細!D:D,調整明細!A:A,A9,調整明細!B:B,"營收調整")</f>
        <v>0</v>
      </c>
      <c r="D9" s="17" t="n">
        <f aca="false">B9+C9</f>
        <v>68554</v>
      </c>
      <c r="E9" s="17" t="n">
        <f aca="false">SUMIFS(報表數據!C:C,報表數據!A:A,A9)</f>
        <v>9104</v>
      </c>
      <c r="F9" s="17" t="n">
        <f aca="false">SUMIFS(調整明細!D:D,調整明細!A:A,A9,調整明細!B:B,"成本調整")</f>
        <v>0</v>
      </c>
      <c r="G9" s="16" t="n">
        <f aca="false">SUMIFS(調整明細!D:D,調整明細!A:A,A9,調整明細!B:B,"房東租金")</f>
        <v>30000</v>
      </c>
      <c r="H9" s="16" t="n">
        <f aca="false">SUMIFS(調整明細!D:D,調整明細!A:A,A9,調整明細!B:B,"付安幸辦公室")</f>
        <v>0</v>
      </c>
      <c r="I9" s="16" t="n">
        <f aca="false">SUMIFS(調整明細!D:D,調整明細!A:A,A9,調整明細!B:B,"薪資")</f>
        <v>0</v>
      </c>
      <c r="J9" s="17" t="n">
        <f aca="false">E9+F9+G9+H9+I9</f>
        <v>39104</v>
      </c>
      <c r="K9" s="17" t="n">
        <f aca="false">D9-J9</f>
        <v>29450</v>
      </c>
      <c r="L9" s="18" t="n">
        <f aca="false">IF(D9=0,"",K9/D9)</f>
        <v>0.429588353706567</v>
      </c>
      <c r="M9" s="19" t="s">
        <v>38</v>
      </c>
    </row>
    <row r="10" customFormat="false" ht="30" hidden="false" customHeight="true" outlineLevel="0" collapsed="false">
      <c r="A10" s="15" t="s">
        <v>39</v>
      </c>
      <c r="B10" s="16" t="n">
        <f aca="false">SUMIFS(報表數據!B:B,報表數據!A:A,A10)</f>
        <v>5744</v>
      </c>
      <c r="C10" s="17" t="n">
        <f aca="false">SUMIFS(調整明細!D:D,調整明細!A:A,A10,調整明細!B:B,"營收調整")</f>
        <v>-3220.8</v>
      </c>
      <c r="D10" s="17" t="n">
        <f aca="false">B10+C10</f>
        <v>2523.2</v>
      </c>
      <c r="E10" s="17" t="n">
        <f aca="false">SUMIFS(報表數據!C:C,報表數據!A:A,A10)</f>
        <v>2820.28</v>
      </c>
      <c r="F10" s="17" t="n">
        <f aca="false">SUMIFS(調整明細!D:D,調整明細!A:A,A10,調整明細!B:B,"成本調整")</f>
        <v>-2820.28</v>
      </c>
      <c r="G10" s="16" t="n">
        <f aca="false">SUMIFS(調整明細!D:D,調整明細!A:A,A10,調整明細!B:B,"房東租金")</f>
        <v>0</v>
      </c>
      <c r="H10" s="16" t="n">
        <f aca="false">SUMIFS(調整明細!D:D,調整明細!A:A,A10,調整明細!B:B,"付安幸辦公室")</f>
        <v>0</v>
      </c>
      <c r="I10" s="16" t="n">
        <f aca="false">SUMIFS(調整明細!D:D,調整明細!A:A,A10,調整明細!B:B,"薪資")</f>
        <v>0</v>
      </c>
      <c r="J10" s="17" t="n">
        <f aca="false">E10+F10+G10+H10+I10</f>
        <v>0</v>
      </c>
      <c r="K10" s="17" t="n">
        <f aca="false">D10-J10</f>
        <v>2523.2</v>
      </c>
      <c r="L10" s="18" t="n">
        <f aca="false">IF(D10=0,"",K10/D10)</f>
        <v>1</v>
      </c>
      <c r="M10" s="21" t="s">
        <v>40</v>
      </c>
    </row>
    <row r="11" customFormat="false" ht="30" hidden="false" customHeight="true" outlineLevel="0" collapsed="false">
      <c r="A11" s="15" t="s">
        <v>41</v>
      </c>
      <c r="B11" s="16" t="n">
        <f aca="false">SUMIFS(報表數據!B:B,報表數據!A:A,A11)</f>
        <v>0</v>
      </c>
      <c r="C11" s="17" t="n">
        <f aca="false">SUMIFS(調整明細!D:D,調整明細!A:A,A11,調整明細!B:B,"營收調整")</f>
        <v>0</v>
      </c>
      <c r="D11" s="17" t="n">
        <f aca="false">B11+C11</f>
        <v>0</v>
      </c>
      <c r="E11" s="17" t="n">
        <f aca="false">SUMIFS(報表數據!C:C,報表數據!A:A,A11)</f>
        <v>8533</v>
      </c>
      <c r="F11" s="17" t="n">
        <f aca="false">SUMIFS(調整明細!D:D,調整明細!A:A,A11,調整明細!B:B,"成本調整")</f>
        <v>0</v>
      </c>
      <c r="G11" s="16" t="n">
        <f aca="false">SUMIFS(調整明細!D:D,調整明細!A:A,A11,調整明細!B:B,"房東租金")</f>
        <v>0</v>
      </c>
      <c r="H11" s="16" t="n">
        <f aca="false">SUMIFS(調整明細!D:D,調整明細!A:A,A11,調整明細!B:B,"付安幸辦公室")</f>
        <v>0</v>
      </c>
      <c r="I11" s="16" t="n">
        <f aca="false">SUMIFS(調整明細!D:D,調整明細!A:A,A11,調整明細!B:B,"薪資")</f>
        <v>0</v>
      </c>
      <c r="J11" s="17" t="n">
        <f aca="false">E11+F11+G11+H11+I11</f>
        <v>8533</v>
      </c>
      <c r="K11" s="17" t="n">
        <f aca="false">D11-J11</f>
        <v>-8533</v>
      </c>
      <c r="L11" s="18" t="str">
        <f aca="false">IF(D11=0,"",K11/D11)</f>
        <v/>
      </c>
      <c r="M11" s="19" t="s">
        <v>42</v>
      </c>
    </row>
    <row r="12" customFormat="false" ht="30" hidden="false" customHeight="true" outlineLevel="0" collapsed="false">
      <c r="A12" s="15" t="s">
        <v>43</v>
      </c>
      <c r="B12" s="16" t="n">
        <f aca="false">SUMIFS(報表數據!B:B,報表數據!A:A,A12)</f>
        <v>287510</v>
      </c>
      <c r="C12" s="17" t="n">
        <f aca="false">SUMIFS(調整明細!D:D,調整明細!A:A,A12,調整明細!B:B,"營收調整")</f>
        <v>177200</v>
      </c>
      <c r="D12" s="17" t="n">
        <f aca="false">B12+C12</f>
        <v>464710</v>
      </c>
      <c r="E12" s="17" t="n">
        <f aca="false">SUMIFS(報表數據!C:C,報表數據!A:A,A12)</f>
        <v>148939</v>
      </c>
      <c r="F12" s="17" t="n">
        <f aca="false">SUMIFS(調整明細!D:D,調整明細!A:A,A12,調整明細!B:B,"成本調整")</f>
        <v>0</v>
      </c>
      <c r="G12" s="16" t="n">
        <f aca="false">SUMIFS(調整明細!D:D,調整明細!A:A,A12,調整明細!B:B,"房東租金")</f>
        <v>0</v>
      </c>
      <c r="H12" s="16" t="n">
        <f aca="false">SUMIFS(調整明細!D:D,調整明細!A:A,A12,調整明細!B:B,"付安幸辦公室")</f>
        <v>0</v>
      </c>
      <c r="I12" s="16" t="n">
        <f aca="false">SUMIFS(調整明細!D:D,調整明細!A:A,A12,調整明細!B:B,"薪資")</f>
        <v>441374</v>
      </c>
      <c r="J12" s="17" t="n">
        <f aca="false">E12+F12+G12+H12+I12</f>
        <v>590313</v>
      </c>
      <c r="K12" s="17" t="n">
        <f aca="false">D12-J12</f>
        <v>-125603</v>
      </c>
      <c r="L12" s="18" t="n">
        <f aca="false">IF(D12=0,"",K12/D12)</f>
        <v>-0.270282541800263</v>
      </c>
      <c r="M12" s="19" t="s">
        <v>44</v>
      </c>
    </row>
    <row r="13" customFormat="false" ht="30" hidden="false" customHeight="true" outlineLevel="0" collapsed="false">
      <c r="A13" s="22" t="s">
        <v>45</v>
      </c>
      <c r="B13" s="23" t="n">
        <f aca="false">SUM(B4:B12)</f>
        <v>9559419</v>
      </c>
      <c r="C13" s="23" t="n">
        <f aca="false">SUM(C4:C12)</f>
        <v>173979.2</v>
      </c>
      <c r="D13" s="23" t="n">
        <f aca="false">SUM(D4:D12)</f>
        <v>9733398.2</v>
      </c>
      <c r="E13" s="23" t="n">
        <f aca="false">SUM(E4:E12)</f>
        <v>7435463.28</v>
      </c>
      <c r="F13" s="23" t="n">
        <f aca="false">SUM(F4:F12)</f>
        <v>-2820.28</v>
      </c>
      <c r="G13" s="24" t="n">
        <f aca="false">SUM(G4:G12)</f>
        <v>97000</v>
      </c>
      <c r="H13" s="24" t="n">
        <f aca="false">SUM(H4:H12)</f>
        <v>178000</v>
      </c>
      <c r="I13" s="24" t="n">
        <f aca="false">SUM(I4:I12)</f>
        <v>441374</v>
      </c>
      <c r="J13" s="23" t="n">
        <f aca="false">SUM(J4:J12)</f>
        <v>8149017</v>
      </c>
      <c r="K13" s="23" t="n">
        <f aca="false">SUM(K4:K12)</f>
        <v>1584381.2</v>
      </c>
      <c r="L13" s="25" t="n">
        <f aca="false">IF(D13=0,"",K13/D13)</f>
        <v>0.162777805597227</v>
      </c>
      <c r="M13" s="26" t="s">
        <v>46</v>
      </c>
    </row>
  </sheetData>
  <mergeCells count="2">
    <mergeCell ref="A1:M1"/>
    <mergeCell ref="A2:M2"/>
  </mergeCells>
  <conditionalFormatting sqref="C4:L1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49E94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7"/>
    <col collapsed="false" customWidth="true" hidden="false" outlineLevel="0" max="3" min="3" style="1" width="10"/>
    <col collapsed="false" customWidth="true" hidden="false" outlineLevel="0" max="5" min="4" style="1" width="15"/>
    <col collapsed="false" customWidth="true" hidden="false" outlineLevel="0" max="6" min="6" style="1" width="40"/>
  </cols>
  <sheetData>
    <row r="1" customFormat="false" ht="25.5" hidden="false" customHeight="true" outlineLevel="0" collapsed="false">
      <c r="A1" s="27" t="s">
        <v>47</v>
      </c>
      <c r="B1" s="27"/>
      <c r="C1" s="27"/>
      <c r="D1" s="27"/>
      <c r="E1" s="27"/>
      <c r="F1" s="27"/>
    </row>
    <row r="2" customFormat="false" ht="15.75" hidden="false" customHeight="true" outlineLevel="0" collapsed="false">
      <c r="A2" s="3" t="s">
        <v>48</v>
      </c>
      <c r="B2" s="3"/>
      <c r="C2" s="3"/>
      <c r="D2" s="3"/>
      <c r="E2" s="3"/>
      <c r="F2" s="3"/>
    </row>
    <row r="3" customFormat="false" ht="30" hidden="false" customHeight="true" outlineLevel="0" collapsed="false">
      <c r="A3" s="14" t="s">
        <v>16</v>
      </c>
      <c r="B3" s="14" t="s">
        <v>49</v>
      </c>
      <c r="C3" s="28" t="s">
        <v>50</v>
      </c>
      <c r="D3" s="28" t="s">
        <v>51</v>
      </c>
      <c r="E3" s="14" t="s">
        <v>52</v>
      </c>
      <c r="F3" s="14" t="s">
        <v>53</v>
      </c>
    </row>
    <row r="4" customFormat="false" ht="25.5" hidden="false" customHeight="true" outlineLevel="0" collapsed="false">
      <c r="A4" s="15" t="s">
        <v>27</v>
      </c>
      <c r="B4" s="17" t="n">
        <f aca="false">老闆總表!K4</f>
        <v>1276836</v>
      </c>
      <c r="C4" s="29" t="n">
        <v>0.5</v>
      </c>
      <c r="D4" s="30" t="n">
        <f aca="false">B4*C4</f>
        <v>638418</v>
      </c>
      <c r="E4" s="17" t="n">
        <f aca="false">B4-D4</f>
        <v>638418</v>
      </c>
      <c r="F4" s="21" t="s">
        <v>54</v>
      </c>
    </row>
    <row r="5" customFormat="false" ht="25.5" hidden="false" customHeight="true" outlineLevel="0" collapsed="false">
      <c r="A5" s="15" t="s">
        <v>29</v>
      </c>
      <c r="B5" s="17" t="n">
        <f aca="false">老闆總表!K5</f>
        <v>270422</v>
      </c>
      <c r="C5" s="29" t="n">
        <v>1</v>
      </c>
      <c r="D5" s="30" t="n">
        <f aca="false">B5*C5</f>
        <v>270422</v>
      </c>
      <c r="E5" s="17" t="n">
        <f aca="false">B5-D5</f>
        <v>0</v>
      </c>
      <c r="F5" s="21" t="s">
        <v>55</v>
      </c>
    </row>
    <row r="6" customFormat="false" ht="25.5" hidden="false" customHeight="true" outlineLevel="0" collapsed="false">
      <c r="A6" s="15" t="s">
        <v>31</v>
      </c>
      <c r="B6" s="17" t="n">
        <f aca="false">老闆總表!K6</f>
        <v>60539</v>
      </c>
      <c r="C6" s="29" t="n">
        <v>0.54</v>
      </c>
      <c r="D6" s="30" t="n">
        <f aca="false">B6*C6</f>
        <v>32691.06</v>
      </c>
      <c r="E6" s="17" t="n">
        <f aca="false">B6-D6</f>
        <v>27847.94</v>
      </c>
      <c r="F6" s="21" t="s">
        <v>56</v>
      </c>
    </row>
    <row r="7" customFormat="false" ht="25.5" hidden="false" customHeight="true" outlineLevel="0" collapsed="false">
      <c r="A7" s="15" t="s">
        <v>33</v>
      </c>
      <c r="B7" s="17" t="n">
        <f aca="false">老闆總表!K7</f>
        <v>96255</v>
      </c>
      <c r="C7" s="29" t="n">
        <v>0.333333333333333</v>
      </c>
      <c r="D7" s="30" t="n">
        <f aca="false">B7*C7</f>
        <v>32085</v>
      </c>
      <c r="E7" s="17" t="n">
        <f aca="false">B7-D7</f>
        <v>64170</v>
      </c>
      <c r="F7" s="21" t="s">
        <v>57</v>
      </c>
    </row>
    <row r="8" customFormat="false" ht="25.5" hidden="false" customHeight="true" outlineLevel="0" collapsed="false">
      <c r="A8" s="20" t="s">
        <v>35</v>
      </c>
      <c r="B8" s="17" t="n">
        <f aca="false">老闆總表!K8</f>
        <v>-17508</v>
      </c>
      <c r="C8" s="29" t="n">
        <v>0.333333333333333</v>
      </c>
      <c r="D8" s="30" t="n">
        <f aca="false">B8*C8</f>
        <v>-5835.99999999999</v>
      </c>
      <c r="E8" s="17" t="n">
        <f aca="false">B8-D8</f>
        <v>-11672</v>
      </c>
      <c r="F8" s="21" t="s">
        <v>57</v>
      </c>
    </row>
    <row r="9" customFormat="false" ht="25.5" hidden="false" customHeight="true" outlineLevel="0" collapsed="false">
      <c r="A9" s="15" t="s">
        <v>37</v>
      </c>
      <c r="B9" s="17" t="n">
        <f aca="false">老闆總表!K9</f>
        <v>29450</v>
      </c>
      <c r="C9" s="29" t="n">
        <v>1</v>
      </c>
      <c r="D9" s="30" t="n">
        <f aca="false">B9*C9</f>
        <v>29450</v>
      </c>
      <c r="E9" s="17" t="n">
        <f aca="false">B9-D9</f>
        <v>0</v>
      </c>
      <c r="F9" s="21" t="s">
        <v>55</v>
      </c>
    </row>
    <row r="10" customFormat="false" ht="25.5" hidden="false" customHeight="true" outlineLevel="0" collapsed="false">
      <c r="A10" s="15" t="s">
        <v>39</v>
      </c>
      <c r="B10" s="17" t="n">
        <f aca="false">老闆總表!K10</f>
        <v>2523.2</v>
      </c>
      <c r="C10" s="29" t="n">
        <v>1</v>
      </c>
      <c r="D10" s="30" t="n">
        <f aca="false">B10*C10</f>
        <v>2523.2</v>
      </c>
      <c r="E10" s="17" t="n">
        <f aca="false">B10-D10</f>
        <v>0</v>
      </c>
      <c r="F10" s="21" t="s">
        <v>58</v>
      </c>
    </row>
    <row r="11" customFormat="false" ht="25.5" hidden="false" customHeight="true" outlineLevel="0" collapsed="false">
      <c r="A11" s="15" t="s">
        <v>41</v>
      </c>
      <c r="B11" s="17" t="n">
        <f aca="false">老闆總表!K11</f>
        <v>-8533</v>
      </c>
      <c r="C11" s="29" t="n">
        <v>1</v>
      </c>
      <c r="D11" s="30" t="n">
        <f aca="false">B11*C11</f>
        <v>-8533</v>
      </c>
      <c r="E11" s="17" t="n">
        <f aca="false">B11-D11</f>
        <v>0</v>
      </c>
      <c r="F11" s="21" t="s">
        <v>55</v>
      </c>
    </row>
    <row r="12" customFormat="false" ht="25.5" hidden="false" customHeight="true" outlineLevel="0" collapsed="false">
      <c r="A12" s="15" t="s">
        <v>43</v>
      </c>
      <c r="B12" s="17" t="n">
        <f aca="false">老闆總表!K12</f>
        <v>-125603</v>
      </c>
      <c r="C12" s="29" t="n">
        <v>1</v>
      </c>
      <c r="D12" s="30" t="n">
        <f aca="false">B12*C12</f>
        <v>-125603</v>
      </c>
      <c r="E12" s="17" t="n">
        <f aca="false">B12-D12</f>
        <v>0</v>
      </c>
      <c r="F12" s="21" t="s">
        <v>59</v>
      </c>
    </row>
    <row r="13" customFormat="false" ht="27.75" hidden="false" customHeight="true" outlineLevel="0" collapsed="false">
      <c r="A13" s="22" t="s">
        <v>45</v>
      </c>
      <c r="B13" s="23" t="n">
        <f aca="false">SUM(B4:B12)</f>
        <v>1584381.2</v>
      </c>
      <c r="C13" s="25" t="n">
        <f aca="false">IF(B13=0,"",D13/B13)</f>
        <v>0.546344061643751</v>
      </c>
      <c r="D13" s="23" t="n">
        <f aca="false">SUM(D4:D12)</f>
        <v>865617.26</v>
      </c>
      <c r="E13" s="23" t="n">
        <f aca="false">SUM(E4:E12)</f>
        <v>718763.94</v>
      </c>
      <c r="F13" s="26" t="s">
        <v>60</v>
      </c>
    </row>
  </sheetData>
  <mergeCells count="2">
    <mergeCell ref="A1:F1"/>
    <mergeCell ref="A2:F2"/>
  </mergeCells>
  <conditionalFormatting sqref="B4:E1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49E94"/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5"/>
    <col collapsed="false" customWidth="true" hidden="false" outlineLevel="0" max="5" min="5" style="1" width="58"/>
  </cols>
  <sheetData>
    <row r="1" customFormat="false" ht="25.5" hidden="false" customHeight="true" outlineLevel="0" collapsed="false">
      <c r="A1" s="13" t="s">
        <v>61</v>
      </c>
      <c r="B1" s="13"/>
      <c r="C1" s="13"/>
      <c r="D1" s="13"/>
      <c r="E1" s="13"/>
    </row>
    <row r="2" customFormat="false" ht="15.75" hidden="false" customHeight="true" outlineLevel="0" collapsed="false">
      <c r="A2" s="3" t="s">
        <v>62</v>
      </c>
      <c r="B2" s="3"/>
      <c r="C2" s="3"/>
      <c r="D2" s="3"/>
      <c r="E2" s="3"/>
    </row>
    <row r="3" customFormat="false" ht="30" hidden="false" customHeight="true" outlineLevel="0" collapsed="false">
      <c r="A3" s="14" t="s">
        <v>16</v>
      </c>
      <c r="B3" s="14" t="s">
        <v>17</v>
      </c>
      <c r="C3" s="14" t="s">
        <v>20</v>
      </c>
      <c r="D3" s="14" t="s">
        <v>63</v>
      </c>
      <c r="E3" s="14" t="s">
        <v>64</v>
      </c>
    </row>
    <row r="4" customFormat="false" ht="25.5" hidden="false" customHeight="true" outlineLevel="0" collapsed="false">
      <c r="A4" s="15" t="s">
        <v>27</v>
      </c>
      <c r="B4" s="31" t="n">
        <v>7803072</v>
      </c>
      <c r="C4" s="31" t="n">
        <v>6526236</v>
      </c>
      <c r="D4" s="17" t="n">
        <f aca="false">B4-C4</f>
        <v>1276836</v>
      </c>
      <c r="E4" s="19" t="s">
        <v>65</v>
      </c>
    </row>
    <row r="5" customFormat="false" ht="25.5" hidden="false" customHeight="true" outlineLevel="0" collapsed="false">
      <c r="A5" s="15" t="s">
        <v>29</v>
      </c>
      <c r="B5" s="31" t="n">
        <v>815616</v>
      </c>
      <c r="C5" s="31" t="n">
        <v>455194</v>
      </c>
      <c r="D5" s="17" t="n">
        <f aca="false">B5-C5</f>
        <v>360422</v>
      </c>
      <c r="E5" s="19" t="s">
        <v>66</v>
      </c>
    </row>
    <row r="6" customFormat="false" ht="25.5" hidden="false" customHeight="true" outlineLevel="0" collapsed="false">
      <c r="A6" s="15" t="s">
        <v>31</v>
      </c>
      <c r="B6" s="31" t="n">
        <v>282930</v>
      </c>
      <c r="C6" s="31" t="n">
        <v>174391</v>
      </c>
      <c r="D6" s="17" t="n">
        <f aca="false">B6-C6</f>
        <v>108539</v>
      </c>
      <c r="E6" s="19" t="s">
        <v>66</v>
      </c>
    </row>
    <row r="7" customFormat="false" ht="25.5" hidden="false" customHeight="true" outlineLevel="0" collapsed="false">
      <c r="A7" s="15" t="s">
        <v>33</v>
      </c>
      <c r="B7" s="31" t="n">
        <v>214216</v>
      </c>
      <c r="C7" s="31" t="n">
        <v>92961</v>
      </c>
      <c r="D7" s="17" t="n">
        <f aca="false">B7-C7</f>
        <v>121255</v>
      </c>
      <c r="E7" s="19" t="s">
        <v>67</v>
      </c>
    </row>
    <row r="8" customFormat="false" ht="25.5" hidden="false" customHeight="true" outlineLevel="0" collapsed="false">
      <c r="A8" s="20" t="s">
        <v>35</v>
      </c>
      <c r="B8" s="31" t="n">
        <v>81777</v>
      </c>
      <c r="C8" s="31" t="n">
        <v>17285</v>
      </c>
      <c r="D8" s="17" t="n">
        <f aca="false">B8-C8</f>
        <v>64492</v>
      </c>
      <c r="E8" s="19" t="s">
        <v>68</v>
      </c>
    </row>
    <row r="9" customFormat="false" ht="25.5" hidden="false" customHeight="true" outlineLevel="0" collapsed="false">
      <c r="A9" s="15" t="s">
        <v>37</v>
      </c>
      <c r="B9" s="31" t="n">
        <v>68554</v>
      </c>
      <c r="C9" s="31" t="n">
        <v>9104</v>
      </c>
      <c r="D9" s="17" t="n">
        <f aca="false">B9-C9</f>
        <v>59450</v>
      </c>
      <c r="E9" s="19" t="s">
        <v>68</v>
      </c>
    </row>
    <row r="10" customFormat="false" ht="25.5" hidden="false" customHeight="true" outlineLevel="0" collapsed="false">
      <c r="A10" s="15" t="s">
        <v>39</v>
      </c>
      <c r="B10" s="31" t="n">
        <v>5744</v>
      </c>
      <c r="C10" s="31" t="n">
        <v>2820.28</v>
      </c>
      <c r="D10" s="17" t="n">
        <f aca="false">B10-C10</f>
        <v>2923.72</v>
      </c>
      <c r="E10" s="19" t="s">
        <v>69</v>
      </c>
    </row>
    <row r="11" customFormat="false" ht="25.5" hidden="false" customHeight="true" outlineLevel="0" collapsed="false">
      <c r="A11" s="15" t="s">
        <v>41</v>
      </c>
      <c r="B11" s="31" t="n">
        <v>0</v>
      </c>
      <c r="C11" s="31" t="n">
        <v>8533</v>
      </c>
      <c r="D11" s="17" t="n">
        <f aca="false">B11-C11</f>
        <v>-8533</v>
      </c>
      <c r="E11" s="19" t="s">
        <v>70</v>
      </c>
    </row>
    <row r="12" customFormat="false" ht="25.5" hidden="false" customHeight="true" outlineLevel="0" collapsed="false">
      <c r="A12" s="15" t="s">
        <v>43</v>
      </c>
      <c r="B12" s="31" t="n">
        <v>287510</v>
      </c>
      <c r="C12" s="31" t="n">
        <v>148939</v>
      </c>
      <c r="D12" s="17" t="n">
        <f aca="false">B12-C12</f>
        <v>138571</v>
      </c>
      <c r="E12" s="19" t="s">
        <v>71</v>
      </c>
    </row>
    <row r="13" customFormat="false" ht="15" hidden="false" customHeight="true" outlineLevel="0" collapsed="false">
      <c r="A13" s="22" t="s">
        <v>45</v>
      </c>
      <c r="B13" s="23" t="n">
        <f aca="false">SUM(B4:B12)</f>
        <v>9559419</v>
      </c>
      <c r="C13" s="23" t="n">
        <f aca="false">SUM(C4:C12)</f>
        <v>7435463.28</v>
      </c>
      <c r="D13" s="23" t="n">
        <f aca="false">SUM(D4:D12)</f>
        <v>2123955.72</v>
      </c>
      <c r="E13" s="22"/>
    </row>
  </sheetData>
  <mergeCells count="2">
    <mergeCell ref="A1:E1"/>
    <mergeCell ref="A2:E2"/>
  </mergeCells>
  <conditionalFormatting sqref="B4:D1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49E94"/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52"/>
  </cols>
  <sheetData>
    <row r="1" customFormat="false" ht="25.5" hidden="false" customHeight="true" outlineLevel="0" collapsed="false">
      <c r="A1" s="13" t="s">
        <v>72</v>
      </c>
      <c r="B1" s="13"/>
      <c r="C1" s="13"/>
      <c r="D1" s="13"/>
      <c r="E1" s="13"/>
    </row>
    <row r="2" customFormat="false" ht="15.75" hidden="false" customHeight="true" outlineLevel="0" collapsed="false">
      <c r="A2" s="32" t="s">
        <v>73</v>
      </c>
      <c r="B2" s="32"/>
      <c r="C2" s="32"/>
      <c r="D2" s="32"/>
      <c r="E2" s="32"/>
    </row>
    <row r="3" customFormat="false" ht="30" hidden="false" customHeight="true" outlineLevel="0" collapsed="false">
      <c r="A3" s="14" t="s">
        <v>16</v>
      </c>
      <c r="B3" s="14" t="s">
        <v>74</v>
      </c>
      <c r="C3" s="14" t="s">
        <v>75</v>
      </c>
      <c r="D3" s="14" t="s">
        <v>76</v>
      </c>
      <c r="E3" s="14" t="s">
        <v>77</v>
      </c>
    </row>
    <row r="4" customFormat="false" ht="25.5" hidden="false" customHeight="true" outlineLevel="0" collapsed="false">
      <c r="A4" s="20" t="s">
        <v>35</v>
      </c>
      <c r="B4" s="33" t="s">
        <v>78</v>
      </c>
      <c r="C4" s="21" t="s">
        <v>79</v>
      </c>
      <c r="D4" s="31" t="n">
        <v>42000</v>
      </c>
      <c r="E4" s="19" t="s">
        <v>80</v>
      </c>
    </row>
    <row r="5" customFormat="false" ht="25.5" hidden="false" customHeight="true" outlineLevel="0" collapsed="false">
      <c r="A5" s="15" t="s">
        <v>33</v>
      </c>
      <c r="B5" s="33" t="s">
        <v>78</v>
      </c>
      <c r="C5" s="19" t="s">
        <v>81</v>
      </c>
      <c r="D5" s="31" t="n">
        <v>25000</v>
      </c>
      <c r="E5" s="19" t="s">
        <v>82</v>
      </c>
    </row>
    <row r="6" customFormat="false" ht="25.5" hidden="false" customHeight="true" outlineLevel="0" collapsed="false">
      <c r="A6" s="15" t="s">
        <v>37</v>
      </c>
      <c r="B6" s="33" t="s">
        <v>78</v>
      </c>
      <c r="C6" s="19" t="s">
        <v>83</v>
      </c>
      <c r="D6" s="31" t="n">
        <v>30000</v>
      </c>
      <c r="E6" s="19" t="s">
        <v>80</v>
      </c>
    </row>
    <row r="7" customFormat="false" ht="25.5" hidden="false" customHeight="true" outlineLevel="0" collapsed="false">
      <c r="A7" s="20" t="s">
        <v>35</v>
      </c>
      <c r="B7" s="33" t="s">
        <v>84</v>
      </c>
      <c r="C7" s="21" t="s">
        <v>85</v>
      </c>
      <c r="D7" s="31" t="n">
        <v>40000</v>
      </c>
      <c r="E7" s="19" t="s">
        <v>86</v>
      </c>
    </row>
    <row r="8" customFormat="false" ht="25.5" hidden="false" customHeight="true" outlineLevel="0" collapsed="false">
      <c r="A8" s="15" t="s">
        <v>31</v>
      </c>
      <c r="B8" s="33" t="s">
        <v>84</v>
      </c>
      <c r="C8" s="19" t="s">
        <v>87</v>
      </c>
      <c r="D8" s="31" t="n">
        <v>48000</v>
      </c>
      <c r="E8" s="19" t="s">
        <v>88</v>
      </c>
    </row>
    <row r="9" customFormat="false" ht="25.5" hidden="false" customHeight="true" outlineLevel="0" collapsed="false">
      <c r="A9" s="15" t="s">
        <v>29</v>
      </c>
      <c r="B9" s="33" t="s">
        <v>84</v>
      </c>
      <c r="C9" s="19" t="s">
        <v>89</v>
      </c>
      <c r="D9" s="31" t="n">
        <v>90000</v>
      </c>
      <c r="E9" s="19" t="s">
        <v>90</v>
      </c>
    </row>
    <row r="10" customFormat="false" ht="25.5" hidden="false" customHeight="true" outlineLevel="0" collapsed="false">
      <c r="A10" s="15" t="s">
        <v>43</v>
      </c>
      <c r="B10" s="33" t="s">
        <v>18</v>
      </c>
      <c r="C10" s="19" t="s">
        <v>91</v>
      </c>
      <c r="D10" s="31" t="n">
        <v>40000</v>
      </c>
      <c r="E10" s="19" t="s">
        <v>92</v>
      </c>
    </row>
    <row r="11" customFormat="false" ht="25.5" hidden="false" customHeight="true" outlineLevel="0" collapsed="false">
      <c r="A11" s="15" t="s">
        <v>43</v>
      </c>
      <c r="B11" s="33" t="s">
        <v>18</v>
      </c>
      <c r="C11" s="19" t="s">
        <v>93</v>
      </c>
      <c r="D11" s="31" t="n">
        <v>48000</v>
      </c>
      <c r="E11" s="19" t="s">
        <v>94</v>
      </c>
    </row>
    <row r="12" customFormat="false" ht="25.5" hidden="false" customHeight="true" outlineLevel="0" collapsed="false">
      <c r="A12" s="15" t="s">
        <v>43</v>
      </c>
      <c r="B12" s="33" t="s">
        <v>18</v>
      </c>
      <c r="C12" s="19" t="s">
        <v>95</v>
      </c>
      <c r="D12" s="31" t="n">
        <v>90000</v>
      </c>
      <c r="E12" s="19" t="s">
        <v>96</v>
      </c>
    </row>
    <row r="13" customFormat="false" ht="25.5" hidden="false" customHeight="true" outlineLevel="0" collapsed="false">
      <c r="A13" s="15" t="s">
        <v>39</v>
      </c>
      <c r="B13" s="33" t="s">
        <v>18</v>
      </c>
      <c r="C13" s="19" t="s">
        <v>97</v>
      </c>
      <c r="D13" s="31" t="n">
        <v>-4020.8</v>
      </c>
      <c r="E13" s="19" t="s">
        <v>98</v>
      </c>
    </row>
    <row r="14" customFormat="false" ht="25.5" hidden="false" customHeight="true" outlineLevel="0" collapsed="false">
      <c r="A14" s="15" t="s">
        <v>39</v>
      </c>
      <c r="B14" s="33" t="s">
        <v>18</v>
      </c>
      <c r="C14" s="19" t="s">
        <v>99</v>
      </c>
      <c r="D14" s="31" t="n">
        <v>800</v>
      </c>
      <c r="E14" s="21" t="s">
        <v>100</v>
      </c>
    </row>
    <row r="15" customFormat="false" ht="25.5" hidden="false" customHeight="true" outlineLevel="0" collapsed="false">
      <c r="A15" s="15" t="s">
        <v>43</v>
      </c>
      <c r="B15" s="33" t="s">
        <v>18</v>
      </c>
      <c r="C15" s="19" t="s">
        <v>101</v>
      </c>
      <c r="D15" s="31" t="n">
        <v>-800</v>
      </c>
      <c r="E15" s="19" t="s">
        <v>102</v>
      </c>
    </row>
    <row r="16" customFormat="false" ht="25.5" hidden="false" customHeight="true" outlineLevel="0" collapsed="false">
      <c r="A16" s="15" t="s">
        <v>39</v>
      </c>
      <c r="B16" s="33" t="s">
        <v>21</v>
      </c>
      <c r="C16" s="19" t="s">
        <v>103</v>
      </c>
      <c r="D16" s="31" t="n">
        <v>-2820.28</v>
      </c>
      <c r="E16" s="19" t="s">
        <v>104</v>
      </c>
    </row>
    <row r="17" customFormat="false" ht="25.5" hidden="false" customHeight="true" outlineLevel="0" collapsed="false">
      <c r="A17" s="15" t="s">
        <v>43</v>
      </c>
      <c r="B17" s="33" t="s">
        <v>105</v>
      </c>
      <c r="C17" s="21" t="s">
        <v>106</v>
      </c>
      <c r="D17" s="31" t="n">
        <v>421874</v>
      </c>
      <c r="E17" s="19" t="s">
        <v>107</v>
      </c>
    </row>
    <row r="18" customFormat="false" ht="25.5" hidden="false" customHeight="true" outlineLevel="0" collapsed="false">
      <c r="A18" s="15" t="s">
        <v>43</v>
      </c>
      <c r="B18" s="33" t="s">
        <v>105</v>
      </c>
      <c r="C18" s="21" t="s">
        <v>108</v>
      </c>
      <c r="D18" s="31" t="n">
        <v>19500</v>
      </c>
      <c r="E18" s="19" t="s">
        <v>109</v>
      </c>
    </row>
  </sheetData>
  <mergeCells count="2">
    <mergeCell ref="A1:E1"/>
    <mergeCell ref="A2:E2"/>
  </mergeCells>
  <conditionalFormatting sqref="D4:D1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49E94"/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</cols>
  <sheetData>
    <row r="1" customFormat="false" ht="25.5" hidden="false" customHeight="true" outlineLevel="0" collapsed="false">
      <c r="A1" s="27" t="s">
        <v>110</v>
      </c>
      <c r="B1" s="27"/>
      <c r="C1" s="27"/>
      <c r="D1" s="27"/>
    </row>
    <row r="2" customFormat="false" ht="15.75" hidden="false" customHeight="true" outlineLevel="0" collapsed="false">
      <c r="A2" s="32" t="s">
        <v>111</v>
      </c>
      <c r="B2" s="32"/>
      <c r="C2" s="32"/>
      <c r="D2" s="32"/>
    </row>
    <row r="3" customFormat="false" ht="15" hidden="false" customHeight="true" outlineLevel="0" collapsed="false">
      <c r="A3" s="34" t="s">
        <v>112</v>
      </c>
      <c r="B3" s="34"/>
      <c r="C3" s="34"/>
      <c r="D3" s="34"/>
    </row>
    <row r="4" customFormat="false" ht="30" hidden="false" customHeight="true" outlineLevel="0" collapsed="false">
      <c r="A4" s="14" t="s">
        <v>113</v>
      </c>
      <c r="B4" s="14" t="s">
        <v>114</v>
      </c>
      <c r="C4" s="14" t="s">
        <v>115</v>
      </c>
      <c r="D4" s="14" t="s">
        <v>76</v>
      </c>
    </row>
    <row r="5" customFormat="false" ht="15" hidden="false" customHeight="true" outlineLevel="0" collapsed="false">
      <c r="A5" s="35" t="s">
        <v>105</v>
      </c>
      <c r="B5" s="36" t="s">
        <v>116</v>
      </c>
      <c r="C5" s="35" t="s">
        <v>117</v>
      </c>
      <c r="D5" s="16" t="n">
        <v>63055</v>
      </c>
    </row>
    <row r="6" customFormat="false" ht="15" hidden="false" customHeight="true" outlineLevel="0" collapsed="false">
      <c r="A6" s="35" t="s">
        <v>105</v>
      </c>
      <c r="B6" s="36" t="s">
        <v>116</v>
      </c>
      <c r="C6" s="35" t="s">
        <v>118</v>
      </c>
      <c r="D6" s="16" t="n">
        <v>42375</v>
      </c>
    </row>
    <row r="7" customFormat="false" ht="15" hidden="false" customHeight="true" outlineLevel="0" collapsed="false">
      <c r="A7" s="35" t="s">
        <v>105</v>
      </c>
      <c r="B7" s="36" t="s">
        <v>116</v>
      </c>
      <c r="C7" s="35" t="s">
        <v>119</v>
      </c>
      <c r="D7" s="16" t="n">
        <v>30762</v>
      </c>
    </row>
    <row r="8" customFormat="false" ht="15" hidden="false" customHeight="true" outlineLevel="0" collapsed="false">
      <c r="A8" s="35" t="s">
        <v>105</v>
      </c>
      <c r="B8" s="36" t="s">
        <v>116</v>
      </c>
      <c r="C8" s="35" t="s">
        <v>120</v>
      </c>
      <c r="D8" s="16" t="n">
        <v>62191</v>
      </c>
    </row>
    <row r="9" customFormat="false" ht="15" hidden="false" customHeight="true" outlineLevel="0" collapsed="false">
      <c r="A9" s="35" t="s">
        <v>105</v>
      </c>
      <c r="B9" s="36" t="s">
        <v>116</v>
      </c>
      <c r="C9" s="35" t="s">
        <v>121</v>
      </c>
      <c r="D9" s="16" t="n">
        <v>48453</v>
      </c>
    </row>
    <row r="10" customFormat="false" ht="15" hidden="false" customHeight="true" outlineLevel="0" collapsed="false">
      <c r="A10" s="35" t="s">
        <v>105</v>
      </c>
      <c r="B10" s="36" t="s">
        <v>116</v>
      </c>
      <c r="C10" s="35" t="s">
        <v>122</v>
      </c>
      <c r="D10" s="16" t="n">
        <v>40440</v>
      </c>
    </row>
    <row r="11" customFormat="false" ht="15" hidden="false" customHeight="true" outlineLevel="0" collapsed="false">
      <c r="A11" s="35" t="s">
        <v>105</v>
      </c>
      <c r="B11" s="36" t="s">
        <v>116</v>
      </c>
      <c r="C11" s="35" t="s">
        <v>123</v>
      </c>
      <c r="D11" s="16" t="n">
        <v>40375</v>
      </c>
    </row>
    <row r="12" customFormat="false" ht="15" hidden="false" customHeight="true" outlineLevel="0" collapsed="false">
      <c r="A12" s="35" t="s">
        <v>105</v>
      </c>
      <c r="B12" s="36" t="s">
        <v>116</v>
      </c>
      <c r="C12" s="35" t="s">
        <v>124</v>
      </c>
      <c r="D12" s="16" t="n">
        <v>40515</v>
      </c>
    </row>
    <row r="13" customFormat="false" ht="15" hidden="false" customHeight="true" outlineLevel="0" collapsed="false">
      <c r="A13" s="35" t="s">
        <v>105</v>
      </c>
      <c r="B13" s="36" t="s">
        <v>116</v>
      </c>
      <c r="C13" s="35" t="s">
        <v>125</v>
      </c>
      <c r="D13" s="16" t="n">
        <v>53708</v>
      </c>
    </row>
    <row r="14" customFormat="false" ht="15" hidden="false" customHeight="true" outlineLevel="0" collapsed="false">
      <c r="A14" s="37" t="s">
        <v>126</v>
      </c>
      <c r="B14" s="37"/>
      <c r="C14" s="37"/>
      <c r="D14" s="38" t="n">
        <f aca="false">SUM(D5:D13)</f>
        <v>421874</v>
      </c>
    </row>
    <row r="15" customFormat="false" ht="15" hidden="false" customHeight="true" outlineLevel="0" collapsed="false">
      <c r="A15" s="35" t="s">
        <v>127</v>
      </c>
      <c r="B15" s="36" t="s">
        <v>128</v>
      </c>
      <c r="C15" s="35" t="s">
        <v>122</v>
      </c>
      <c r="D15" s="16" t="n">
        <v>4000</v>
      </c>
    </row>
    <row r="16" customFormat="false" ht="15" hidden="false" customHeight="true" outlineLevel="0" collapsed="false">
      <c r="A16" s="35" t="s">
        <v>127</v>
      </c>
      <c r="B16" s="36" t="s">
        <v>128</v>
      </c>
      <c r="C16" s="35" t="s">
        <v>118</v>
      </c>
      <c r="D16" s="16" t="n">
        <v>2000</v>
      </c>
    </row>
    <row r="17" customFormat="false" ht="15" hidden="false" customHeight="true" outlineLevel="0" collapsed="false">
      <c r="A17" s="35" t="s">
        <v>127</v>
      </c>
      <c r="B17" s="36" t="s">
        <v>128</v>
      </c>
      <c r="C17" s="35" t="s">
        <v>123</v>
      </c>
      <c r="D17" s="16" t="n">
        <v>6500</v>
      </c>
    </row>
    <row r="18" customFormat="false" ht="15" hidden="false" customHeight="true" outlineLevel="0" collapsed="false">
      <c r="A18" s="35" t="s">
        <v>127</v>
      </c>
      <c r="B18" s="36" t="s">
        <v>128</v>
      </c>
      <c r="C18" s="35" t="s">
        <v>119</v>
      </c>
      <c r="D18" s="16" t="n">
        <v>7000</v>
      </c>
    </row>
    <row r="19" customFormat="false" ht="15" hidden="false" customHeight="true" outlineLevel="0" collapsed="false">
      <c r="A19" s="37" t="s">
        <v>129</v>
      </c>
      <c r="B19" s="37"/>
      <c r="C19" s="37"/>
      <c r="D19" s="38" t="n">
        <f aca="false">SUM(D15:D18)</f>
        <v>19500</v>
      </c>
    </row>
    <row r="20" customFormat="false" ht="16.5" hidden="false" customHeight="true" outlineLevel="0" collapsed="false">
      <c r="A20" s="39" t="s">
        <v>130</v>
      </c>
      <c r="B20" s="39"/>
      <c r="C20" s="39"/>
      <c r="D20" s="40" t="n">
        <f aca="false">D14+D19</f>
        <v>441374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49E94"/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0"/>
  </cols>
  <sheetData>
    <row r="1" customFormat="false" ht="25.5" hidden="false" customHeight="true" outlineLevel="0" collapsed="false">
      <c r="A1" s="13" t="s">
        <v>131</v>
      </c>
      <c r="B1" s="13"/>
    </row>
    <row r="2" customFormat="false" ht="15.75" hidden="false" customHeight="true" outlineLevel="0" collapsed="false">
      <c r="A2" s="32" t="s">
        <v>132</v>
      </c>
      <c r="B2" s="32"/>
    </row>
    <row r="3" customFormat="false" ht="15" hidden="false" customHeight="true" outlineLevel="0" collapsed="false">
      <c r="A3" s="9" t="s">
        <v>133</v>
      </c>
    </row>
    <row r="4" customFormat="false" ht="15" hidden="false" customHeight="true" outlineLevel="0" collapsed="false">
      <c r="B4" s="41" t="s">
        <v>134</v>
      </c>
    </row>
    <row r="6" customFormat="false" ht="15" hidden="false" customHeight="true" outlineLevel="0" collapsed="false">
      <c r="A6" s="9" t="s">
        <v>135</v>
      </c>
    </row>
    <row r="7" customFormat="false" ht="30" hidden="false" customHeight="true" outlineLevel="0" collapsed="false">
      <c r="A7" s="42" t="s">
        <v>136</v>
      </c>
      <c r="B7" s="43" t="s">
        <v>137</v>
      </c>
    </row>
    <row r="8" customFormat="false" ht="30" hidden="false" customHeight="true" outlineLevel="0" collapsed="false">
      <c r="A8" s="42" t="s">
        <v>138</v>
      </c>
      <c r="B8" s="43" t="s">
        <v>139</v>
      </c>
    </row>
    <row r="9" customFormat="false" ht="30" hidden="false" customHeight="true" outlineLevel="0" collapsed="false">
      <c r="A9" s="42" t="s">
        <v>140</v>
      </c>
      <c r="B9" s="43" t="s">
        <v>141</v>
      </c>
    </row>
    <row r="10" customFormat="false" ht="30" hidden="false" customHeight="true" outlineLevel="0" collapsed="false">
      <c r="A10" s="42" t="s">
        <v>142</v>
      </c>
      <c r="B10" s="43" t="s">
        <v>143</v>
      </c>
    </row>
    <row r="11" customFormat="false" ht="30" hidden="false" customHeight="true" outlineLevel="0" collapsed="false">
      <c r="A11" s="42" t="s">
        <v>144</v>
      </c>
      <c r="B11" s="43" t="s">
        <v>145</v>
      </c>
    </row>
    <row r="12" customFormat="false" ht="30" hidden="false" customHeight="true" outlineLevel="0" collapsed="false">
      <c r="A12" s="42" t="s">
        <v>146</v>
      </c>
      <c r="B12" s="43" t="s">
        <v>147</v>
      </c>
    </row>
    <row r="13" customFormat="false" ht="30" hidden="false" customHeight="true" outlineLevel="0" collapsed="false">
      <c r="A13" s="42" t="s">
        <v>148</v>
      </c>
      <c r="B13" s="43" t="s">
        <v>149</v>
      </c>
    </row>
    <row r="14" customFormat="false" ht="30" hidden="false" customHeight="true" outlineLevel="0" collapsed="false">
      <c r="A14" s="42" t="s">
        <v>150</v>
      </c>
      <c r="B14" s="43" t="s">
        <v>151</v>
      </c>
    </row>
    <row r="15" customFormat="false" ht="30" hidden="false" customHeight="true" outlineLevel="0" collapsed="false">
      <c r="A15" s="42" t="s">
        <v>152</v>
      </c>
      <c r="B15" s="44" t="s">
        <v>153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2026-09-18T05:36:54Z</dcterms:created>
  <dc:creator>openpyxl</dc:creator>
  <dc:description/>
  <dc:language>en-US</dc:language>
  <cp:lastModifiedBy/>
  <dcterms:modified xsi:type="dcterms:W3CDTF">2026-09-18T05:40:16Z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