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老闆總表" sheetId="2" state="visible" r:id="rId4"/>
    <sheet name="Jim個人" sheetId="3" state="visible" r:id="rId5"/>
    <sheet name="報表數據" sheetId="4" state="visible" r:id="rId6"/>
    <sheet name="調整明細" sheetId="5" state="visible" r:id="rId7"/>
    <sheet name="薪資明細" sheetId="6" state="visible" r:id="rId8"/>
    <sheet name="說明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<sst xmlns="http://schemas.openxmlformats.org/spreadsheetml/2006/main" count="265" uniqueCount="167">
  <si>
    <t xml:space="preserve">安幸有限公司</t>
  </si>
  <si>
    <t xml:space="preserve">An Xing Co.</t>
  </si>
  <si>
    <t xml:space="preserve">老闆版損益 ・ 一一五年八月 ・ 新台幣元 ・ 內部文件</t>
  </si>
  <si>
    <t xml:space="preserve">實際營收</t>
  </si>
  <si>
    <t xml:space="preserve">實際成本</t>
  </si>
  <si>
    <t xml:space="preserve">實際損益</t>
  </si>
  <si>
    <t xml:space="preserve">利潤率</t>
  </si>
  <si>
    <r>
      <rPr>
        <sz val="9.5"/>
        <color rgb="FF4A443B"/>
        <rFont val="Microsoft JhengHei Light"/>
        <family val="0"/>
        <charset val="1"/>
      </rPr>
      <t xml:space="preserve">Jim </t>
    </r>
    <r>
      <rPr>
        <sz val="9.5"/>
        <color rgb="FF4A443B"/>
        <rFont val="Noto Sans CJK SC"/>
        <family val="2"/>
      </rPr>
      <t xml:space="preserve">實拿</t>
    </r>
  </si>
  <si>
    <t xml:space="preserve">Revenue</t>
  </si>
  <si>
    <t xml:space="preserve">Cost</t>
  </si>
  <si>
    <t xml:space="preserve">Net</t>
  </si>
  <si>
    <t xml:space="preserve">Margin</t>
  </si>
  <si>
    <t xml:space="preserve">Owner's share</t>
  </si>
  <si>
    <t xml:space="preserve">各案子實際損益</t>
  </si>
  <si>
    <t xml:space="preserve">Actual net by property</t>
  </si>
  <si>
    <t xml:space="preserve">各案子利潤率</t>
  </si>
  <si>
    <t xml:space="preserve">Margin by property</t>
  </si>
  <si>
    <t xml:space="preserve">讀法</t>
  </si>
  <si>
    <t xml:space="preserve">正隆貢獻 80.2% 營收、80.6% 損益;正隆一案佔 Jim 實拿 73.8%。</t>
  </si>
  <si>
    <t xml:space="preserve">三個負數——辦公室 −125,603:薪資獎金 441,374+自身營運費 148,939,內部收入 464,710(正隆 200,000・時兆 90,000・開封 48,000・JPR 40,000+各案清潔費 87,510−調整 800)未足額覆蓋,屬結構性;JPR −17,508;復興 −8,533(零營收)。</t>
  </si>
  <si>
    <t xml:space="preserve">改「報表數據」與「調整明細」的藍字,全表與圖自動重算。</t>
  </si>
  <si>
    <t xml:space="preserve">Actual P&amp;L by Property</t>
  </si>
  <si>
    <t xml:space="preserve">一一五年八月 ・ 新台幣元 ・ 藍字可改,其餘公式連動</t>
  </si>
  <si>
    <t xml:space="preserve">案子</t>
  </si>
  <si>
    <t xml:space="preserve">報表營業收入</t>
  </si>
  <si>
    <t xml:space="preserve">營收調整</t>
  </si>
  <si>
    <t xml:space="preserve">實際營業收入</t>
  </si>
  <si>
    <t xml:space="preserve">報表營運費用</t>
  </si>
  <si>
    <t xml:space="preserve">成本調整</t>
  </si>
  <si>
    <t xml:space="preserve">付房東租金</t>
  </si>
  <si>
    <t xml:space="preserve">付安幸辦公室</t>
  </si>
  <si>
    <t xml:space="preserve">薪資獎金</t>
  </si>
  <si>
    <t xml:space="preserve">實際總成本</t>
  </si>
  <si>
    <t xml:space="preserve">本月調整說明</t>
  </si>
  <si>
    <t xml:space="preserve">正隆</t>
  </si>
  <si>
    <t xml:space="preserve">無調整</t>
  </si>
  <si>
    <t xml:space="preserve">時兆</t>
  </si>
  <si>
    <t xml:space="preserve">加 每月付安幸辦公室薪資 90,000</t>
  </si>
  <si>
    <t xml:space="preserve">開封</t>
  </si>
  <si>
    <t xml:space="preserve">加 每月付安幸辦公室人事費 48,000</t>
  </si>
  <si>
    <t xml:space="preserve">南京</t>
  </si>
  <si>
    <t xml:space="preserve">加 南京5 房東租金 25,000</t>
  </si>
  <si>
    <t xml:space="preserve">JPR</t>
  </si>
  <si>
    <t xml:space="preserve">加 房東租金 42,000 + 每月付安幸辦公室 40,000</t>
  </si>
  <si>
    <t xml:space="preserve">台視</t>
  </si>
  <si>
    <t xml:space="preserve">加 房東租金 30,000</t>
  </si>
  <si>
    <t xml:space="preserve">亞曼尼</t>
  </si>
  <si>
    <r>
      <rPr>
        <sz val="10"/>
        <color rgb="FF4A443B"/>
        <rFont val="Microsoft JhengHei Light"/>
        <family val="0"/>
        <charset val="1"/>
      </rPr>
      <t xml:space="preserve">Jim </t>
    </r>
    <r>
      <rPr>
        <sz val="10"/>
        <color rgb="FF4A443B"/>
        <rFont val="Noto Sans CJK SC"/>
        <family val="2"/>
      </rPr>
      <t xml:space="preserve">只收營業額 </t>
    </r>
    <r>
      <rPr>
        <sz val="10"/>
        <color rgb="FF4A443B"/>
        <rFont val="Microsoft JhengHei Light"/>
        <family val="0"/>
        <charset val="1"/>
      </rPr>
      <t xml:space="preserve">30%(1,723)+</t>
    </r>
    <r>
      <rPr>
        <sz val="10"/>
        <color rgb="FF4A443B"/>
        <rFont val="Noto Sans CJK SC"/>
        <family val="2"/>
      </rPr>
      <t xml:space="preserve">清潔費 </t>
    </r>
    <r>
      <rPr>
        <sz val="10"/>
        <color rgb="FF4A443B"/>
        <rFont val="Microsoft JhengHei Light"/>
        <family val="0"/>
        <charset val="1"/>
      </rPr>
      <t xml:space="preserve">800;</t>
    </r>
    <r>
      <rPr>
        <sz val="10"/>
        <color rgb="FF4A443B"/>
        <rFont val="Noto Sans CJK SC"/>
        <family val="2"/>
      </rPr>
      <t xml:space="preserve">報表費用 </t>
    </r>
    <r>
      <rPr>
        <sz val="10"/>
        <color rgb="FF4A443B"/>
        <rFont val="Microsoft JhengHei Light"/>
        <family val="0"/>
        <charset val="1"/>
      </rPr>
      <t xml:space="preserve">2,820 </t>
    </r>
    <r>
      <rPr>
        <sz val="10"/>
        <color rgb="FF4A443B"/>
        <rFont val="Noto Sans CJK SC"/>
        <family val="2"/>
      </rPr>
      <t xml:space="preserve">不歸 </t>
    </r>
    <r>
      <rPr>
        <sz val="10"/>
        <color rgb="FF4A443B"/>
        <rFont val="Microsoft JhengHei Light"/>
        <family val="0"/>
        <charset val="1"/>
      </rPr>
      <t xml:space="preserve">Jim</t>
    </r>
  </si>
  <si>
    <t xml:space="preserve">復興</t>
  </si>
  <si>
    <t xml:space="preserve">無調整(本月無營收)</t>
  </si>
  <si>
    <t xml:space="preserve">安幸辦公室</t>
  </si>
  <si>
    <t xml:space="preserve">加 內部收入 178,000;亞曼尼清潔費移列;加薪資獎金 441,374</t>
  </si>
  <si>
    <t xml:space="preserve">合計</t>
  </si>
  <si>
    <t xml:space="preserve">內部往來在合計中自動抵銷</t>
  </si>
  <si>
    <r>
      <rPr>
        <sz val="18"/>
        <color rgb="FF221D17"/>
        <rFont val="Microsoft JhengHei Light"/>
        <family val="0"/>
        <charset val="1"/>
      </rPr>
      <t xml:space="preserve">Jim </t>
    </r>
    <r>
      <rPr>
        <sz val="18"/>
        <color rgb="FF221D17"/>
        <rFont val="Noto Sans CJK SC"/>
        <family val="2"/>
      </rPr>
      <t xml:space="preserve">個人實拿</t>
    </r>
  </si>
  <si>
    <t xml:space="preserve">Owner's Share</t>
  </si>
  <si>
    <t xml:space="preserve">依持股比例 ・ 持股(藍字)可改</t>
  </si>
  <si>
    <r>
      <rPr>
        <sz val="8.5"/>
        <color rgb="FFA49E94"/>
        <rFont val="Microsoft JhengHei Light"/>
        <family val="0"/>
        <charset val="1"/>
      </rPr>
      <t xml:space="preserve">Jim </t>
    </r>
    <r>
      <rPr>
        <sz val="8.5"/>
        <color rgb="FFA49E94"/>
        <rFont val="Noto Sans CJK SC"/>
        <family val="2"/>
      </rPr>
      <t xml:space="preserve">持股</t>
    </r>
  </si>
  <si>
    <r>
      <rPr>
        <sz val="8.5"/>
        <color rgb="FFA49E94"/>
        <rFont val="Microsoft JhengHei Light"/>
        <family val="0"/>
        <charset val="1"/>
      </rPr>
      <t xml:space="preserve">Jim </t>
    </r>
    <r>
      <rPr>
        <sz val="8.5"/>
        <color rgb="FFA49E94"/>
        <rFont val="Noto Sans CJK SC"/>
        <family val="2"/>
      </rPr>
      <t xml:space="preserve">實拿</t>
    </r>
  </si>
  <si>
    <t xml:space="preserve">其他股東</t>
  </si>
  <si>
    <t xml:space="preserve">備註</t>
  </si>
  <si>
    <t xml:space="preserve">50%</t>
  </si>
  <si>
    <t xml:space="preserve">100%</t>
  </si>
  <si>
    <t xml:space="preserve">54%</t>
  </si>
  <si>
    <r>
      <rPr>
        <sz val="10"/>
        <color rgb="FF4A443B"/>
        <rFont val="Microsoft JhengHei Light"/>
        <family val="0"/>
        <charset val="1"/>
      </rPr>
      <t xml:space="preserve">1/3(</t>
    </r>
    <r>
      <rPr>
        <sz val="10"/>
        <color rgb="FF4A443B"/>
        <rFont val="Noto Sans CJK SC"/>
        <family val="2"/>
      </rPr>
      <t xml:space="preserve">與 </t>
    </r>
    <r>
      <rPr>
        <sz val="10"/>
        <color rgb="FF4A443B"/>
        <rFont val="Microsoft JhengHei Light"/>
        <family val="0"/>
        <charset val="1"/>
      </rPr>
      <t xml:space="preserve">JPR </t>
    </r>
    <r>
      <rPr>
        <sz val="10"/>
        <color rgb="FF4A443B"/>
        <rFont val="Noto Sans CJK SC"/>
        <family val="2"/>
      </rPr>
      <t xml:space="preserve">合併算</t>
    </r>
    <r>
      <rPr>
        <sz val="10"/>
        <color rgb="FF4A443B"/>
        <rFont val="Microsoft JhengHei Light"/>
        <family val="0"/>
        <charset val="1"/>
      </rPr>
      <t xml:space="preserve">)</t>
    </r>
  </si>
  <si>
    <r>
      <rPr>
        <sz val="10"/>
        <color rgb="FF4A443B"/>
        <rFont val="Microsoft JhengHei Light"/>
        <family val="0"/>
        <charset val="1"/>
      </rPr>
      <t xml:space="preserve">1/3(</t>
    </r>
    <r>
      <rPr>
        <sz val="10"/>
        <color rgb="FF4A443B"/>
        <rFont val="Noto Sans CJK SC"/>
        <family val="2"/>
      </rPr>
      <t xml:space="preserve">與南京合併算</t>
    </r>
    <r>
      <rPr>
        <sz val="10"/>
        <color rgb="FF4A443B"/>
        <rFont val="Microsoft JhengHei Light"/>
        <family val="0"/>
        <charset val="1"/>
      </rPr>
      <t xml:space="preserve">)</t>
    </r>
  </si>
  <si>
    <r>
      <rPr>
        <sz val="10"/>
        <color rgb="FF4A443B"/>
        <rFont val="Microsoft JhengHei Light"/>
        <family val="0"/>
        <charset val="1"/>
      </rPr>
      <t xml:space="preserve">100%;</t>
    </r>
    <r>
      <rPr>
        <sz val="10"/>
        <color rgb="FF4A443B"/>
        <rFont val="Noto Sans CJK SC"/>
        <family val="2"/>
      </rPr>
      <t xml:space="preserve">營業額 </t>
    </r>
    <r>
      <rPr>
        <sz val="10"/>
        <color rgb="FF4A443B"/>
        <rFont val="Microsoft JhengHei Light"/>
        <family val="0"/>
        <charset val="1"/>
      </rPr>
      <t xml:space="preserve">30%+</t>
    </r>
    <r>
      <rPr>
        <sz val="10"/>
        <color rgb="FF4A443B"/>
        <rFont val="Noto Sans CJK SC"/>
        <family val="2"/>
      </rPr>
      <t xml:space="preserve">清潔費</t>
    </r>
    <r>
      <rPr>
        <sz val="10"/>
        <color rgb="FF4A443B"/>
        <rFont val="Microsoft JhengHei Light"/>
        <family val="0"/>
        <charset val="1"/>
      </rPr>
      <t xml:space="preserve">,</t>
    </r>
    <r>
      <rPr>
        <sz val="10"/>
        <color rgb="FF4A443B"/>
        <rFont val="Noto Sans CJK SC"/>
        <family val="2"/>
      </rPr>
      <t xml:space="preserve">無成本</t>
    </r>
  </si>
  <si>
    <r>
      <rPr>
        <sz val="10"/>
        <color rgb="FF4A443B"/>
        <rFont val="Microsoft JhengHei Light"/>
        <family val="0"/>
        <charset val="1"/>
      </rPr>
      <t xml:space="preserve">100%;</t>
    </r>
    <r>
      <rPr>
        <sz val="10"/>
        <color rgb="FF4A443B"/>
        <rFont val="Noto Sans CJK SC"/>
        <family val="2"/>
      </rPr>
      <t xml:space="preserve">含內部收入</t>
    </r>
  </si>
  <si>
    <t xml:space="preserve">持股欄=實拿÷全案損益</t>
  </si>
  <si>
    <t xml:space="preserve">報表原始數據</t>
  </si>
  <si>
    <t xml:space="preserve">Source Figures</t>
  </si>
  <si>
    <t xml:space="preserve">藍字=自公司報表手填,改這裡全表重算</t>
  </si>
  <si>
    <t xml:space="preserve">報表營運損益</t>
  </si>
  <si>
    <t xml:space="preserve">來源 / 備註</t>
  </si>
  <si>
    <t xml:space="preserve">正隆_收支報表_115年8月_FINAL_v4;保證金 200,000 屬融資往來不計入</t>
  </si>
  <si>
    <t xml:space="preserve">各物業_收支報表_115年8月_v4「收支總覽」</t>
  </si>
  <si>
    <t xml:space="preserve">各物業_收支報表;其中南京5營收 99,000</t>
  </si>
  <si>
    <t xml:space="preserve">各物業_收支報表「收支總覽」</t>
  </si>
  <si>
    <t xml:space="preserve">各物業_收支報表;5,744 為亞曼尼總營業額</t>
  </si>
  <si>
    <t xml:space="preserve">各物業_收支報表;本月無營收</t>
  </si>
  <si>
    <t xml:space="preserve">營收皆為向各案收取之清潔/人事費(內部往來):87,510+正隆房務 200,000</t>
  </si>
  <si>
    <t xml:space="preserve">老闆版調整項目</t>
  </si>
  <si>
    <t xml:space="preserve">Owner Adjustments</t>
  </si>
  <si>
    <t xml:space="preserve">公司報表未列 ・ 藍字可改</t>
  </si>
  <si>
    <t xml:space="preserve">調整類型</t>
  </si>
  <si>
    <t xml:space="preserve">項目</t>
  </si>
  <si>
    <t xml:space="preserve">金額</t>
  </si>
  <si>
    <t xml:space="preserve">計算方式 / 備註</t>
  </si>
  <si>
    <t xml:space="preserve">房東租金</t>
  </si>
  <si>
    <r>
      <rPr>
        <sz val="10"/>
        <color rgb="FF4A443B"/>
        <rFont val="Microsoft JhengHei Light"/>
        <family val="0"/>
        <charset val="1"/>
      </rPr>
      <t xml:space="preserve">JPR </t>
    </r>
    <r>
      <rPr>
        <sz val="10"/>
        <color rgb="FF4A443B"/>
        <rFont val="Noto Sans CJK SC"/>
        <family val="2"/>
      </rPr>
      <t xml:space="preserve">月租</t>
    </r>
    <r>
      <rPr>
        <sz val="10"/>
        <color rgb="FF4A443B"/>
        <rFont val="Microsoft JhengHei Light"/>
        <family val="0"/>
        <charset val="1"/>
      </rPr>
      <t xml:space="preserve">(</t>
    </r>
    <r>
      <rPr>
        <sz val="10"/>
        <color rgb="FF4A443B"/>
        <rFont val="Noto Sans CJK SC"/>
        <family val="2"/>
      </rPr>
      <t xml:space="preserve">付房東</t>
    </r>
    <r>
      <rPr>
        <sz val="10"/>
        <color rgb="FF4A443B"/>
        <rFont val="Microsoft JhengHei Light"/>
        <family val="0"/>
        <charset val="1"/>
      </rPr>
      <t xml:space="preserve">)</t>
    </r>
  </si>
  <si>
    <t xml:space="preserve">固定月租</t>
  </si>
  <si>
    <t xml:space="preserve">南京5 月租(付房東)</t>
  </si>
  <si>
    <t xml:space="preserve">固定月租;南京5 本月營收 99,000</t>
  </si>
  <si>
    <t xml:space="preserve">台視 月租(付房東)</t>
  </si>
  <si>
    <r>
      <rPr>
        <sz val="10"/>
        <color rgb="FF4A443B"/>
        <rFont val="Microsoft JhengHei Light"/>
        <family val="0"/>
        <charset val="1"/>
      </rPr>
      <t xml:space="preserve">JPR </t>
    </r>
    <r>
      <rPr>
        <sz val="10"/>
        <color rgb="FF4A443B"/>
        <rFont val="Noto Sans CJK SC"/>
        <family val="2"/>
      </rPr>
      <t xml:space="preserve">每月付安幸辦公室管理費</t>
    </r>
  </si>
  <si>
    <t xml:space="preserve">固定每月;對應辦公室內部收入</t>
  </si>
  <si>
    <t xml:space="preserve">開封 每月付安幸辦公室人事費</t>
  </si>
  <si>
    <t xml:space="preserve">公司報表已刪除之 48,000 於此加回</t>
  </si>
  <si>
    <t xml:space="preserve">時兆 每月付安幸辦公室薪資</t>
  </si>
  <si>
    <t xml:space="preserve">內部收入:JPR 管理費</t>
  </si>
  <si>
    <t xml:space="preserve">對應:JPR 付安幸辦公室</t>
  </si>
  <si>
    <t xml:space="preserve">內部收入:開封 人事費</t>
  </si>
  <si>
    <t xml:space="preserve">對應:開封 付安幸辦公室</t>
  </si>
  <si>
    <t xml:space="preserve">內部收入:時兆 薪資</t>
  </si>
  <si>
    <t xml:space="preserve">對應:時兆 付安幸辦公室</t>
  </si>
  <si>
    <t xml:space="preserve">營業額 70% 歸屋主(安幸抽 30%)</t>
  </si>
  <si>
    <t xml:space="preserve">管理費=5,744×30%=1,723;70% 以負數調整</t>
  </si>
  <si>
    <t xml:space="preserve">清潔費收入(房東付給 Jim)</t>
  </si>
  <si>
    <r>
      <rPr>
        <sz val="10"/>
        <color rgb="FF4A443B"/>
        <rFont val="Microsoft JhengHei Light"/>
        <family val="0"/>
        <charset val="1"/>
      </rPr>
      <t xml:space="preserve">8/17 </t>
    </r>
    <r>
      <rPr>
        <sz val="10"/>
        <color rgb="FF4A443B"/>
        <rFont val="Noto Sans CJK SC"/>
        <family val="2"/>
      </rPr>
      <t xml:space="preserve">房務清潔</t>
    </r>
    <r>
      <rPr>
        <sz val="10"/>
        <color rgb="FF4A443B"/>
        <rFont val="Microsoft JhengHei Light"/>
        <family val="0"/>
        <charset val="1"/>
      </rPr>
      <t xml:space="preserve">;</t>
    </r>
    <r>
      <rPr>
        <sz val="10"/>
        <color rgb="FF4A443B"/>
        <rFont val="Noto Sans CJK SC"/>
        <family val="2"/>
      </rPr>
      <t xml:space="preserve">自辦公室移列至此</t>
    </r>
  </si>
  <si>
    <t xml:space="preserve">亞曼尼清潔費移列</t>
  </si>
  <si>
    <t xml:space="preserve">避免重複計算</t>
  </si>
  <si>
    <t xml:space="preserve">亞曼尼全部費用不歸 Jim</t>
  </si>
  <si>
    <t xml:space="preserve">水電/管理/備品/清潔 2,820 全數扣除</t>
  </si>
  <si>
    <t xml:space="preserve">薪資</t>
  </si>
  <si>
    <r>
      <rPr>
        <sz val="10"/>
        <color rgb="FF4A443B"/>
        <rFont val="Microsoft JhengHei Light"/>
        <family val="0"/>
        <charset val="1"/>
      </rPr>
      <t xml:space="preserve">8 </t>
    </r>
    <r>
      <rPr>
        <sz val="10"/>
        <color rgb="FF4A443B"/>
        <rFont val="Noto Sans CJK SC"/>
        <family val="2"/>
      </rPr>
      <t xml:space="preserve">月薪資</t>
    </r>
    <r>
      <rPr>
        <sz val="10"/>
        <color rgb="FF4A443B"/>
        <rFont val="Microsoft JhengHei Light"/>
        <family val="0"/>
        <charset val="1"/>
      </rPr>
      <t xml:space="preserve">(9 </t>
    </r>
    <r>
      <rPr>
        <sz val="10"/>
        <color rgb="FF4A443B"/>
        <rFont val="Noto Sans CJK SC"/>
        <family val="2"/>
      </rPr>
      <t xml:space="preserve">人</t>
    </r>
    <r>
      <rPr>
        <sz val="10"/>
        <color rgb="FF4A443B"/>
        <rFont val="Microsoft JhengHei Light"/>
        <family val="0"/>
        <charset val="1"/>
      </rPr>
      <t xml:space="preserve">)</t>
    </r>
  </si>
  <si>
    <t xml:space="preserve">安幸薪轉戶.xls;9/11 撥款屬 8 月</t>
  </si>
  <si>
    <r>
      <rPr>
        <sz val="10"/>
        <color rgb="FF4A443B"/>
        <rFont val="Microsoft JhengHei Light"/>
        <family val="0"/>
        <charset val="1"/>
      </rPr>
      <t xml:space="preserve">8 </t>
    </r>
    <r>
      <rPr>
        <sz val="10"/>
        <color rgb="FF4A443B"/>
        <rFont val="Noto Sans CJK SC"/>
        <family val="2"/>
      </rPr>
      <t xml:space="preserve">月獎金</t>
    </r>
    <r>
      <rPr>
        <sz val="10"/>
        <color rgb="FF4A443B"/>
        <rFont val="Microsoft JhengHei Light"/>
        <family val="0"/>
        <charset val="1"/>
      </rPr>
      <t xml:space="preserve">(4 </t>
    </r>
    <r>
      <rPr>
        <sz val="10"/>
        <color rgb="FF4A443B"/>
        <rFont val="Noto Sans CJK SC"/>
        <family val="2"/>
      </rPr>
      <t xml:space="preserve">人</t>
    </r>
    <r>
      <rPr>
        <sz val="10"/>
        <color rgb="FF4A443B"/>
        <rFont val="Microsoft JhengHei Light"/>
        <family val="0"/>
        <charset val="1"/>
      </rPr>
      <t xml:space="preserve">)</t>
    </r>
  </si>
  <si>
    <t xml:space="preserve">獎金.xls;9/16 撥款屬 8 月</t>
  </si>
  <si>
    <r>
      <rPr>
        <sz val="10"/>
        <color rgb="FF4A443B"/>
        <rFont val="Noto Sans CJK SC"/>
        <family val="2"/>
      </rPr>
      <t xml:space="preserve">正隆 </t>
    </r>
    <r>
      <rPr>
        <sz val="10"/>
        <color rgb="FF4A443B"/>
        <rFont val="Microsoft JhengHei Light"/>
        <family val="0"/>
        <charset val="1"/>
      </rPr>
      <t xml:space="preserve">200,000 </t>
    </r>
    <r>
      <rPr>
        <sz val="10"/>
        <color rgb="FF4A443B"/>
        <rFont val="Noto Sans CJK SC"/>
        <family val="2"/>
      </rPr>
      <t xml:space="preserve">自報表費用重分類</t>
    </r>
    <r>
      <rPr>
        <sz val="10"/>
        <color rgb="FF4A443B"/>
        <rFont val="Microsoft JhengHei Light"/>
        <family val="0"/>
        <charset val="1"/>
      </rPr>
      <t xml:space="preserve">(</t>
    </r>
    <r>
      <rPr>
        <sz val="10"/>
        <color rgb="FF4A443B"/>
        <rFont val="Noto Sans CJK SC"/>
        <family val="2"/>
      </rPr>
      <t xml:space="preserve">移列付安幸辦公室</t>
    </r>
    <r>
      <rPr>
        <sz val="10"/>
        <color rgb="FF4A443B"/>
        <rFont val="Microsoft JhengHei Light"/>
        <family val="0"/>
        <charset val="1"/>
      </rPr>
      <t xml:space="preserve">)</t>
    </r>
  </si>
  <si>
    <r>
      <rPr>
        <sz val="10"/>
        <color rgb="FF4A443B"/>
        <rFont val="Noto Sans CJK SC"/>
        <family val="2"/>
      </rPr>
      <t xml:space="preserve">正隆報表「薪資勞務」</t>
    </r>
    <r>
      <rPr>
        <sz val="10"/>
        <color rgb="FF4A443B"/>
        <rFont val="Microsoft JhengHei Light"/>
        <family val="0"/>
        <charset val="1"/>
      </rPr>
      <t xml:space="preserve">366,600 </t>
    </r>
    <r>
      <rPr>
        <sz val="10"/>
        <color rgb="FF4A443B"/>
        <rFont val="Noto Sans CJK SC"/>
        <family val="2"/>
      </rPr>
      <t xml:space="preserve">內之 </t>
    </r>
    <r>
      <rPr>
        <sz val="10"/>
        <color rgb="FF4A443B"/>
        <rFont val="Microsoft JhengHei Light"/>
        <family val="0"/>
        <charset val="1"/>
      </rPr>
      <t xml:space="preserve">200,000;</t>
    </r>
    <r>
      <rPr>
        <sz val="10"/>
        <color rgb="FF4A443B"/>
        <rFont val="Noto Sans CJK SC"/>
        <family val="2"/>
      </rPr>
      <t xml:space="preserve">重分類使內部往來透明</t>
    </r>
    <r>
      <rPr>
        <sz val="10"/>
        <color rgb="FF4A443B"/>
        <rFont val="Microsoft JhengHei Light"/>
        <family val="0"/>
        <charset val="1"/>
      </rPr>
      <t xml:space="preserve">,</t>
    </r>
    <r>
      <rPr>
        <sz val="10"/>
        <color rgb="FF4A443B"/>
        <rFont val="Noto Sans CJK SC"/>
        <family val="2"/>
      </rPr>
      <t xml:space="preserve">正隆總成本不變</t>
    </r>
  </si>
  <si>
    <r>
      <rPr>
        <sz val="10"/>
        <color rgb="FF4A443B"/>
        <rFont val="Noto Sans CJK SC"/>
        <family val="2"/>
      </rPr>
      <t xml:space="preserve">正隆 房務人事費</t>
    </r>
    <r>
      <rPr>
        <sz val="10"/>
        <color rgb="FF4A443B"/>
        <rFont val="Microsoft JhengHei Light"/>
        <family val="0"/>
        <charset val="1"/>
      </rPr>
      <t xml:space="preserve">(</t>
    </r>
    <r>
      <rPr>
        <sz val="10"/>
        <color rgb="FF4A443B"/>
        <rFont val="Noto Sans CJK SC"/>
        <family val="2"/>
      </rPr>
      <t xml:space="preserve">付安幸辦公室</t>
    </r>
    <r>
      <rPr>
        <sz val="10"/>
        <color rgb="FF4A443B"/>
        <rFont val="Microsoft JhengHei Light"/>
        <family val="0"/>
        <charset val="1"/>
      </rPr>
      <t xml:space="preserve">)</t>
    </r>
  </si>
  <si>
    <r>
      <rPr>
        <sz val="10"/>
        <color rgb="FF4A443B"/>
        <rFont val="Noto Sans CJK SC"/>
        <family val="2"/>
      </rPr>
      <t xml:space="preserve">對應安幸辦公室報表營收 </t>
    </r>
    <r>
      <rPr>
        <sz val="10"/>
        <color rgb="FF4A443B"/>
        <rFont val="Microsoft JhengHei Light"/>
        <family val="0"/>
        <charset val="1"/>
      </rPr>
      <t xml:space="preserve">287,510 </t>
    </r>
    <r>
      <rPr>
        <sz val="10"/>
        <color rgb="FF4A443B"/>
        <rFont val="Noto Sans CJK SC"/>
        <family val="2"/>
      </rPr>
      <t xml:space="preserve">內之 </t>
    </r>
    <r>
      <rPr>
        <sz val="10"/>
        <color rgb="FF4A443B"/>
        <rFont val="Microsoft JhengHei Light"/>
        <family val="0"/>
        <charset val="1"/>
      </rPr>
      <t xml:space="preserve">200,000——</t>
    </r>
    <r>
      <rPr>
        <sz val="10"/>
        <color rgb="FF4A443B"/>
        <rFont val="Noto Sans CJK SC"/>
        <family val="2"/>
      </rPr>
      <t xml:space="preserve">先前已入帳</t>
    </r>
    <r>
      <rPr>
        <sz val="10"/>
        <color rgb="FF4A443B"/>
        <rFont val="Microsoft JhengHei Light"/>
        <family val="0"/>
        <charset val="1"/>
      </rPr>
      <t xml:space="preserve">,</t>
    </r>
    <r>
      <rPr>
        <sz val="10"/>
        <color rgb="FF4A443B"/>
        <rFont val="Noto Sans CJK SC"/>
        <family val="2"/>
      </rPr>
      <t xml:space="preserve">現拉至檯面</t>
    </r>
  </si>
  <si>
    <r>
      <rPr>
        <sz val="10"/>
        <color rgb="FF4A443B"/>
        <rFont val="Noto Sans CJK SC"/>
        <family val="2"/>
      </rPr>
      <t xml:space="preserve">內部收入</t>
    </r>
    <r>
      <rPr>
        <sz val="10"/>
        <color rgb="FF4A443B"/>
        <rFont val="Microsoft JhengHei Light"/>
        <family val="0"/>
        <charset val="1"/>
      </rPr>
      <t xml:space="preserve">:</t>
    </r>
    <r>
      <rPr>
        <sz val="10"/>
        <color rgb="FF4A443B"/>
        <rFont val="Noto Sans CJK SC"/>
        <family val="2"/>
      </rPr>
      <t xml:space="preserve">正隆 </t>
    </r>
    <r>
      <rPr>
        <sz val="10"/>
        <color rgb="FF4A443B"/>
        <rFont val="Microsoft JhengHei Light"/>
        <family val="0"/>
        <charset val="1"/>
      </rPr>
      <t xml:space="preserve">200,000 </t>
    </r>
    <r>
      <rPr>
        <sz val="10"/>
        <color rgb="FF4A443B"/>
        <rFont val="Noto Sans CJK SC"/>
        <family val="2"/>
      </rPr>
      <t xml:space="preserve">已含在報表營收 </t>
    </r>
    <r>
      <rPr>
        <sz val="10"/>
        <color rgb="FF4A443B"/>
        <rFont val="Microsoft JhengHei Light"/>
        <family val="0"/>
        <charset val="1"/>
      </rPr>
      <t xml:space="preserve">287,510 </t>
    </r>
    <r>
      <rPr>
        <sz val="10"/>
        <color rgb="FF4A443B"/>
        <rFont val="Noto Sans CJK SC"/>
        <family val="2"/>
      </rPr>
      <t xml:space="preserve">內</t>
    </r>
  </si>
  <si>
    <r>
      <rPr>
        <sz val="10"/>
        <color rgb="FF4A443B"/>
        <rFont val="Noto Sans CJK SC"/>
        <family val="2"/>
      </rPr>
      <t xml:space="preserve">故不重複加回</t>
    </r>
    <r>
      <rPr>
        <sz val="10"/>
        <color rgb="FF4A443B"/>
        <rFont val="Microsoft JhengHei Light"/>
        <family val="0"/>
        <charset val="1"/>
      </rPr>
      <t xml:space="preserve">;</t>
    </r>
    <r>
      <rPr>
        <sz val="10"/>
        <color rgb="FF4A443B"/>
        <rFont val="Noto Sans CJK SC"/>
        <family val="2"/>
      </rPr>
      <t xml:space="preserve">辦公室內部收入合計 </t>
    </r>
    <r>
      <rPr>
        <sz val="10"/>
        <color rgb="FF4A443B"/>
        <rFont val="Microsoft JhengHei Light"/>
        <family val="0"/>
        <charset val="1"/>
      </rPr>
      <t xml:space="preserve">= 378,000(</t>
    </r>
    <r>
      <rPr>
        <sz val="10"/>
        <color rgb="FF4A443B"/>
        <rFont val="Noto Sans CJK SC"/>
        <family val="2"/>
      </rPr>
      <t xml:space="preserve">四案固定</t>
    </r>
    <r>
      <rPr>
        <sz val="10"/>
        <color rgb="FF4A443B"/>
        <rFont val="Microsoft JhengHei Light"/>
        <family val="0"/>
        <charset val="1"/>
      </rPr>
      <t xml:space="preserve">)+ </t>
    </r>
    <r>
      <rPr>
        <sz val="10"/>
        <color rgb="FF4A443B"/>
        <rFont val="Noto Sans CJK SC"/>
        <family val="2"/>
      </rPr>
      <t xml:space="preserve">清潔費 </t>
    </r>
    <r>
      <rPr>
        <sz val="10"/>
        <color rgb="FF4A443B"/>
        <rFont val="Microsoft JhengHei Light"/>
        <family val="0"/>
        <charset val="1"/>
      </rPr>
      <t xml:space="preserve">87,510</t>
    </r>
  </si>
  <si>
    <t xml:space="preserve">薪資與獎金明細</t>
  </si>
  <si>
    <t xml:space="preserve">Payroll — Confidential</t>
  </si>
  <si>
    <t xml:space="preserve">僅供老闆檢視 ・ 勿外流</t>
  </si>
  <si>
    <t xml:space="preserve">類別</t>
  </si>
  <si>
    <t xml:space="preserve">撥款日</t>
  </si>
  <si>
    <t xml:space="preserve">員工</t>
  </si>
  <si>
    <t xml:space="preserve">09-11</t>
  </si>
  <si>
    <t xml:space="preserve">簡靜惠</t>
  </si>
  <si>
    <t xml:space="preserve">謝邵瑛</t>
  </si>
  <si>
    <t xml:space="preserve">張瓊月</t>
  </si>
  <si>
    <t xml:space="preserve">羅大偉</t>
  </si>
  <si>
    <t xml:space="preserve">王芊茹</t>
  </si>
  <si>
    <t xml:space="preserve">張家綺</t>
  </si>
  <si>
    <t xml:space="preserve">周庭玉</t>
  </si>
  <si>
    <t xml:space="preserve">唐筑萱</t>
  </si>
  <si>
    <t xml:space="preserve">游佳穎</t>
  </si>
  <si>
    <t xml:space="preserve">薪資小計</t>
  </si>
  <si>
    <t xml:space="preserve">獎金</t>
  </si>
  <si>
    <t xml:space="preserve">09-16</t>
  </si>
  <si>
    <t xml:space="preserve">獎金小計</t>
  </si>
  <si>
    <t xml:space="preserve">參數與說明</t>
  </si>
  <si>
    <t xml:space="preserve">Notes</t>
  </si>
  <si>
    <t xml:space="preserve">讀完再改數字</t>
  </si>
  <si>
    <t xml:space="preserve">1</t>
  </si>
  <si>
    <t xml:space="preserve">本表為老闆內部版:在公司報表基礎上加入未列的三類——付房東租金、8 月薪資獎金、亞曼尼營收調整。</t>
  </si>
  <si>
    <t xml:space="preserve">2</t>
  </si>
  <si>
    <t xml:space="preserve">公司報表數字放「報表數據」、調整放「調整明細」(皆藍字);「老闆總表」以 SUMIFS 連動,改藍字自動重算;「總覽」的數字與圖表全數連動總表。</t>
  </si>
  <si>
    <t xml:space="preserve">3</t>
  </si>
  <si>
    <t xml:space="preserve">薪資獎金 441,374 全列「安幸辦公室」;各案每月固定付辦公室:JPR 40,000、開封 48,000、時兆 90,000——該案成本、辦公室內部收入,合計自動抵銷。</t>
  </si>
  <si>
    <t xml:space="preserve">4</t>
  </si>
  <si>
    <t xml:space="preserve">正隆報表「薪資勞務」366,600 = 6B2 仲介費 165,000 + 付安幸辦公室房務人事費 200,000 + 魏伊漪 1,600。該 200,000 已於「調整明細」重分類至「付安幸辦公室」欄(成本調整 −200,000 對沖),正隆總成本不變;對應收入原本就在辦公室報表營收 287,510 內,未重複計算。</t>
  </si>
  <si>
    <t xml:space="preserve">5</t>
  </si>
  <si>
    <t xml:space="preserve">辦公室營收 287,510 全為內部往來——單看該案時,它的收入不是外部收入。</t>
  </si>
  <si>
    <t xml:space="preserve">6</t>
  </si>
  <si>
    <t xml:space="preserve">亞曼尼:Jim 只收營業額 30%(1,723)與清潔費 800;報表費用 2,820 不歸 Jim;清潔費自辦公室移列亞曼尼,合計不變。</t>
  </si>
  <si>
    <t xml:space="preserve">7</t>
  </si>
  <si>
    <t xml:space="preserve">正隆裝潢保證金 200,000 屬押金(融資往來),不計入營運損益。</t>
  </si>
  <si>
    <t xml:space="preserve">8</t>
  </si>
  <si>
    <r>
      <rPr>
        <sz val="10"/>
        <color rgb="FF4A443B"/>
        <rFont val="Microsoft JhengHei Light"/>
        <family val="0"/>
        <charset val="1"/>
      </rPr>
      <t xml:space="preserve">8/5 </t>
    </r>
    <r>
      <rPr>
        <sz val="10"/>
        <color rgb="FF4A443B"/>
        <rFont val="Noto Sans CJK SC"/>
        <family val="2"/>
      </rPr>
      <t xml:space="preserve">獎金 </t>
    </r>
    <r>
      <rPr>
        <sz val="10"/>
        <color rgb="FF4A443B"/>
        <rFont val="Microsoft JhengHei Light"/>
        <family val="0"/>
        <charset val="1"/>
      </rPr>
      <t xml:space="preserve">90,000 </t>
    </r>
    <r>
      <rPr>
        <sz val="10"/>
        <color rgb="FF4A443B"/>
        <rFont val="Noto Sans CJK SC"/>
        <family val="2"/>
      </rPr>
      <t xml:space="preserve">已自公司報表刪除</t>
    </r>
    <r>
      <rPr>
        <sz val="10"/>
        <color rgb="FF4A443B"/>
        <rFont val="Microsoft JhengHei Light"/>
        <family val="0"/>
        <charset val="1"/>
      </rPr>
      <t xml:space="preserve">;</t>
    </r>
    <r>
      <rPr>
        <sz val="10"/>
        <color rgb="FF4A443B"/>
        <rFont val="Noto Sans CJK SC"/>
        <family val="2"/>
      </rPr>
      <t xml:space="preserve">本表以薪轉戶</t>
    </r>
    <r>
      <rPr>
        <sz val="10"/>
        <color rgb="FF4A443B"/>
        <rFont val="Microsoft JhengHei Light"/>
        <family val="0"/>
        <charset val="1"/>
      </rPr>
      <t xml:space="preserve">/</t>
    </r>
    <r>
      <rPr>
        <sz val="10"/>
        <color rgb="FF4A443B"/>
        <rFont val="Noto Sans CJK SC"/>
        <family val="2"/>
      </rPr>
      <t xml:space="preserve">獎金檔實際撥款為準。</t>
    </r>
  </si>
  <si>
    <t xml:space="preserve">9</t>
  </si>
  <si>
    <r>
      <rPr>
        <sz val="10"/>
        <color rgb="FF4A443B"/>
        <rFont val="Microsoft JhengHei Light"/>
        <family val="0"/>
        <charset val="1"/>
      </rPr>
      <t xml:space="preserve">Jim </t>
    </r>
    <r>
      <rPr>
        <sz val="10"/>
        <color rgb="FF4A443B"/>
        <rFont val="Noto Sans CJK SC"/>
        <family val="2"/>
      </rPr>
      <t xml:space="preserve">持股</t>
    </r>
    <r>
      <rPr>
        <sz val="10"/>
        <color rgb="FF4A443B"/>
        <rFont val="Microsoft JhengHei Light"/>
        <family val="0"/>
        <charset val="1"/>
      </rPr>
      <t xml:space="preserve">:</t>
    </r>
    <r>
      <rPr>
        <sz val="10"/>
        <color rgb="FF4A443B"/>
        <rFont val="Noto Sans CJK SC"/>
        <family val="2"/>
      </rPr>
      <t xml:space="preserve">正隆 </t>
    </r>
    <r>
      <rPr>
        <sz val="10"/>
        <color rgb="FF4A443B"/>
        <rFont val="Microsoft JhengHei Light"/>
        <family val="0"/>
        <charset val="1"/>
      </rPr>
      <t xml:space="preserve">50%</t>
    </r>
    <r>
      <rPr>
        <sz val="10"/>
        <color rgb="FF4A443B"/>
        <rFont val="Noto Sans CJK SC"/>
        <family val="2"/>
      </rPr>
      <t xml:space="preserve">、開封 </t>
    </r>
    <r>
      <rPr>
        <sz val="10"/>
        <color rgb="FF4A443B"/>
        <rFont val="Microsoft JhengHei Light"/>
        <family val="0"/>
        <charset val="1"/>
      </rPr>
      <t xml:space="preserve">54%</t>
    </r>
    <r>
      <rPr>
        <sz val="10"/>
        <color rgb="FF4A443B"/>
        <rFont val="Noto Sans CJK SC"/>
        <family val="2"/>
      </rPr>
      <t xml:space="preserve">、</t>
    </r>
    <r>
      <rPr>
        <sz val="10"/>
        <color rgb="FF4A443B"/>
        <rFont val="Microsoft JhengHei Light"/>
        <family val="0"/>
        <charset val="1"/>
      </rPr>
      <t xml:space="preserve">JPR </t>
    </r>
    <r>
      <rPr>
        <sz val="10"/>
        <color rgb="FF4A443B"/>
        <rFont val="Noto Sans CJK SC"/>
        <family val="2"/>
      </rPr>
      <t xml:space="preserve">與南京各 </t>
    </r>
    <r>
      <rPr>
        <sz val="10"/>
        <color rgb="FF4A443B"/>
        <rFont val="Microsoft JhengHei Light"/>
        <family val="0"/>
        <charset val="1"/>
      </rPr>
      <t xml:space="preserve">1/3,</t>
    </r>
    <r>
      <rPr>
        <sz val="10"/>
        <color rgb="FF4A443B"/>
        <rFont val="Noto Sans CJK SC"/>
        <family val="2"/>
      </rPr>
      <t xml:space="preserve">其餘 </t>
    </r>
    <r>
      <rPr>
        <sz val="10"/>
        <color rgb="FF4A443B"/>
        <rFont val="Microsoft JhengHei Light"/>
        <family val="0"/>
        <charset val="1"/>
      </rPr>
      <t xml:space="preserve">100%(</t>
    </r>
    <r>
      <rPr>
        <sz val="10"/>
        <color rgb="FF4A443B"/>
        <rFont val="Noto Sans CJK SC"/>
        <family val="2"/>
      </rPr>
      <t xml:space="preserve">「</t>
    </r>
    <r>
      <rPr>
        <sz val="10"/>
        <color rgb="FF4A443B"/>
        <rFont val="Microsoft JhengHei Light"/>
        <family val="0"/>
        <charset val="1"/>
      </rPr>
      <t xml:space="preserve">Jim</t>
    </r>
    <r>
      <rPr>
        <sz val="10"/>
        <color rgb="FF4A443B"/>
        <rFont val="Noto Sans CJK SC"/>
        <family val="2"/>
      </rPr>
      <t xml:space="preserve">個人」藍字可改</t>
    </r>
    <r>
      <rPr>
        <sz val="10"/>
        <color rgb="FF4A443B"/>
        <rFont val="Microsoft JhengHei Light"/>
        <family val="0"/>
        <charset val="1"/>
      </rPr>
      <t xml:space="preserve">)</t>
    </r>
    <r>
      <rPr>
        <sz val="10"/>
        <color rgb="FF4A443B"/>
        <rFont val="Noto Sans CJK SC"/>
        <family val="2"/>
      </rPr>
      <t xml:space="preserve">。</t>
    </r>
  </si>
  <si>
    <t xml:space="preserve">10</t>
  </si>
  <si>
    <r>
      <rPr>
        <sz val="10"/>
        <color rgb="FF4A443B"/>
        <rFont val="Noto Sans CJK SC"/>
        <family val="2"/>
      </rPr>
      <t xml:space="preserve">安幸辦公室內部收入全貌</t>
    </r>
    <r>
      <rPr>
        <sz val="10"/>
        <color rgb="FF4A443B"/>
        <rFont val="Microsoft JhengHei Light"/>
        <family val="0"/>
        <charset val="1"/>
      </rPr>
      <t xml:space="preserve">:</t>
    </r>
    <r>
      <rPr>
        <sz val="10"/>
        <color rgb="FF4A443B"/>
        <rFont val="Noto Sans CJK SC"/>
        <family val="2"/>
      </rPr>
      <t xml:space="preserve">四案固定 </t>
    </r>
    <r>
      <rPr>
        <sz val="10"/>
        <color rgb="FF4A443B"/>
        <rFont val="Microsoft JhengHei Light"/>
        <family val="0"/>
        <charset val="1"/>
      </rPr>
      <t xml:space="preserve">378,000(</t>
    </r>
    <r>
      <rPr>
        <sz val="10"/>
        <color rgb="FF4A443B"/>
        <rFont val="Noto Sans CJK SC"/>
        <family val="2"/>
      </rPr>
      <t xml:space="preserve">正隆 </t>
    </r>
    <r>
      <rPr>
        <sz val="10"/>
        <color rgb="FF4A443B"/>
        <rFont val="Microsoft JhengHei Light"/>
        <family val="0"/>
        <charset val="1"/>
      </rPr>
      <t xml:space="preserve">200,000/</t>
    </r>
    <r>
      <rPr>
        <sz val="10"/>
        <color rgb="FF4A443B"/>
        <rFont val="Noto Sans CJK SC"/>
        <family val="2"/>
      </rPr>
      <t xml:space="preserve">時兆 </t>
    </r>
    <r>
      <rPr>
        <sz val="10"/>
        <color rgb="FF4A443B"/>
        <rFont val="Microsoft JhengHei Light"/>
        <family val="0"/>
        <charset val="1"/>
      </rPr>
      <t xml:space="preserve">90,000/</t>
    </r>
    <r>
      <rPr>
        <sz val="10"/>
        <color rgb="FF4A443B"/>
        <rFont val="Noto Sans CJK SC"/>
        <family val="2"/>
      </rPr>
      <t xml:space="preserve">開封 </t>
    </r>
    <r>
      <rPr>
        <sz val="10"/>
        <color rgb="FF4A443B"/>
        <rFont val="Microsoft JhengHei Light"/>
        <family val="0"/>
        <charset val="1"/>
      </rPr>
      <t xml:space="preserve">48,000/JPR 40,000)+</t>
    </r>
    <r>
      <rPr>
        <sz val="10"/>
        <color rgb="FF4A443B"/>
        <rFont val="Noto Sans CJK SC"/>
        <family val="2"/>
      </rPr>
      <t xml:space="preserve">各案清潔費 </t>
    </r>
    <r>
      <rPr>
        <sz val="10"/>
        <color rgb="FF4A443B"/>
        <rFont val="Microsoft JhengHei Light"/>
        <family val="0"/>
        <charset val="1"/>
      </rPr>
      <t xml:space="preserve">87,510;</t>
    </r>
    <r>
      <rPr>
        <sz val="10"/>
        <color rgb="FF4A443B"/>
        <rFont val="Noto Sans CJK SC"/>
        <family val="2"/>
      </rPr>
      <t xml:space="preserve">對比薪資 </t>
    </r>
    <r>
      <rPr>
        <sz val="10"/>
        <color rgb="FF4A443B"/>
        <rFont val="Microsoft JhengHei Light"/>
        <family val="0"/>
        <charset val="1"/>
      </rPr>
      <t xml:space="preserve">441,374 </t>
    </r>
    <r>
      <rPr>
        <sz val="10"/>
        <color rgb="FF4A443B"/>
        <rFont val="Noto Sans CJK SC"/>
        <family val="2"/>
      </rPr>
      <t xml:space="preserve">與自身營運費 </t>
    </r>
    <r>
      <rPr>
        <sz val="10"/>
        <color rgb="FF4A443B"/>
        <rFont val="Microsoft JhengHei Light"/>
        <family val="0"/>
        <charset val="1"/>
      </rPr>
      <t xml:space="preserve">148,939,</t>
    </r>
    <r>
      <rPr>
        <sz val="10"/>
        <color rgb="FF4A443B"/>
        <rFont val="Noto Sans CJK SC"/>
        <family val="2"/>
      </rPr>
      <t xml:space="preserve">月缺口 </t>
    </r>
    <r>
      <rPr>
        <sz val="10"/>
        <color rgb="FF4A443B"/>
        <rFont val="Microsoft JhengHei Light"/>
        <family val="0"/>
        <charset val="1"/>
      </rPr>
      <t xml:space="preserve">125,603 </t>
    </r>
    <r>
      <rPr>
        <sz val="10"/>
        <color rgb="FF4A443B"/>
        <rFont val="Noto Sans CJK SC"/>
        <family val="2"/>
      </rPr>
      <t xml:space="preserve">為老闆自留之管理成本。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</si>
</sst>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##"/>
    <numFmt numFmtId="168" formatCode="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221D17"/>
      <name val="Noto Sans CJK SC"/>
      <family val="2"/>
      <charset val="1"/>
    </font>
    <font>
      <i val="true"/>
      <sz val="11"/>
      <color rgb="FFA49E94"/>
      <name val="Palatino Linotype"/>
      <family val="0"/>
      <charset val="1"/>
    </font>
    <font>
      <sz val="9"/>
      <color rgb="FFA49E94"/>
      <name val="Noto Sans CJK SC"/>
      <family val="2"/>
      <charset val="1"/>
    </font>
    <font>
      <sz val="9.5"/>
      <color rgb="FF4A443B"/>
      <name val="Noto Sans CJK SC"/>
      <family val="2"/>
      <charset val="1"/>
    </font>
    <font>
      <sz val="9.5"/>
      <color rgb="FF4A443B"/>
      <name val="Microsoft JhengHei Light"/>
      <family val="0"/>
      <charset val="1"/>
    </font>
    <font>
      <sz val="9.5"/>
      <color rgb="FF4A443B"/>
      <name val="Noto Sans CJK SC"/>
      <family val="2"/>
    </font>
    <font>
      <i val="true"/>
      <sz val="8.5"/>
      <color rgb="FFA49E94"/>
      <name val="Palatino Linotype"/>
      <family val="0"/>
      <charset val="1"/>
    </font>
    <font>
      <sz val="19"/>
      <color rgb="FF221D17"/>
      <name val="Palatino Linotype"/>
      <family val="0"/>
      <charset val="1"/>
    </font>
    <font>
      <sz val="19"/>
      <color rgb="FF8B6F47"/>
      <name val="Palatino Linotype"/>
      <family val="0"/>
      <charset val="1"/>
    </font>
    <font>
      <sz val="10"/>
      <color rgb="FF221D17"/>
      <name val="Noto Sans CJK SC"/>
      <family val="2"/>
      <charset val="1"/>
    </font>
    <font>
      <sz val="10"/>
      <color rgb="FF000000"/>
      <name val="Calibri"/>
      <family val="2"/>
    </font>
    <font>
      <sz val="18"/>
      <color rgb="FF221D17"/>
      <name val="Noto Sans CJK SC"/>
      <family val="2"/>
      <charset val="1"/>
    </font>
    <font>
      <sz val="8.5"/>
      <color rgb="FFA49E94"/>
      <name val="Noto Sans CJK SC"/>
      <family val="2"/>
      <charset val="1"/>
    </font>
    <font>
      <sz val="10"/>
      <color rgb="FF4A443B"/>
      <name val="Palatino Linotype"/>
      <family val="0"/>
      <charset val="1"/>
    </font>
    <font>
      <sz val="10"/>
      <color rgb="FF4A443B"/>
      <name val="Noto Sans CJK SC"/>
      <family val="2"/>
      <charset val="1"/>
    </font>
    <font>
      <sz val="10"/>
      <color rgb="FF221D17"/>
      <name val="Microsoft JhengHei"/>
      <family val="0"/>
      <charset val="1"/>
    </font>
    <font>
      <sz val="10"/>
      <color rgb="FF4A443B"/>
      <name val="Microsoft JhengHei Light"/>
      <family val="0"/>
      <charset val="1"/>
    </font>
    <font>
      <sz val="10"/>
      <color rgb="FF4A443B"/>
      <name val="Noto Sans CJK SC"/>
      <family val="2"/>
    </font>
    <font>
      <b val="true"/>
      <sz val="10.5"/>
      <color rgb="FF221D17"/>
      <name val="Noto Sans CJK SC"/>
      <family val="2"/>
      <charset val="1"/>
    </font>
    <font>
      <sz val="10.5"/>
      <color rgb="FF4A443B"/>
      <name val="Palatino Linotype"/>
      <family val="0"/>
      <charset val="1"/>
    </font>
    <font>
      <b val="true"/>
      <sz val="10.5"/>
      <color rgb="FF4A443B"/>
      <name val="Noto Sans CJK SC"/>
      <family val="2"/>
      <charset val="1"/>
    </font>
    <font>
      <sz val="18"/>
      <color rgb="FF221D17"/>
      <name val="Microsoft JhengHei Light"/>
      <family val="0"/>
      <charset val="1"/>
    </font>
    <font>
      <sz val="18"/>
      <color rgb="FF221D17"/>
      <name val="Noto Sans CJK SC"/>
      <family val="2"/>
    </font>
    <font>
      <sz val="8.5"/>
      <color rgb="FFA49E94"/>
      <name val="Microsoft JhengHei Light"/>
      <family val="0"/>
      <charset val="1"/>
    </font>
    <font>
      <sz val="8.5"/>
      <color rgb="FFA49E94"/>
      <name val="Noto Sans CJK SC"/>
      <family val="2"/>
    </font>
    <font>
      <sz val="10"/>
      <color rgb="FF2F5496"/>
      <name val="Palatino Linotype"/>
      <family val="0"/>
      <charset val="1"/>
    </font>
    <font>
      <sz val="10"/>
      <color rgb="FF221D17"/>
      <name val="Palatino Linotype"/>
      <family val="0"/>
      <charset val="1"/>
    </font>
    <font>
      <sz val="10"/>
      <color rgb="FF221D17"/>
      <name val="Noto Sans CJK SC"/>
      <family val="2"/>
    </font>
    <font>
      <sz val="9.5"/>
      <color rgb="FF8B6F47"/>
      <name val="Palatino Linotyp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21D17"/>
      </bottom>
      <diagonal/>
    </border>
    <border diagonalUp="false" diagonalDown="false">
      <left style="thin">
        <color rgb="FFD9D2C4"/>
      </left>
      <right/>
      <top/>
      <bottom/>
      <diagonal/>
    </border>
    <border diagonalUp="false" diagonalDown="false">
      <left/>
      <right/>
      <top/>
      <bottom style="thin">
        <color rgb="FFD9D2C4"/>
      </bottom>
      <diagonal/>
    </border>
    <border diagonalUp="false" diagonalDown="false">
      <left/>
      <right/>
      <top style="medium">
        <color rgb="FF221D1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Palatino Linotype"/>
        <charset val="1"/>
        <family val="0"/>
        <color rgb="FFA3543F"/>
      </font>
    </dxf>
    <dxf>
      <font>
        <name val="Palatino Linotype"/>
        <charset val="1"/>
        <family val="0"/>
        <color rgb="FFA3543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F47"/>
      <rgbColor rgb="FF800080"/>
      <rgbColor rgb="FF008080"/>
      <rgbColor rgb="FFD9D2C4"/>
      <rgbColor rgb="FF878787"/>
      <rgbColor rgb="FF9999FF"/>
      <rgbColor rgb="FFA3543F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49E94"/>
      <rgbColor rgb="FF003366"/>
      <rgbColor rgb="FF339966"/>
      <rgbColor rgb="FF003300"/>
      <rgbColor rgb="FF221D17"/>
      <rgbColor rgb="FF993300"/>
      <rgbColor rgb="FF993366"/>
      <rgbColor rgb="FF2F5496"/>
      <rgbColor rgb="FF4A4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老闆總表!K4</c:f>
              <c:strCache>
                <c:ptCount val="1"/>
                <c:pt idx="0">
                  <c:v>實際損益</c:v>
                </c:pt>
              </c:strCache>
            </c:strRef>
          </c:tx>
          <c:spPr>
            <a:solidFill>
              <a:srgbClr val="8b6f47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a3543f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a3543f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a3543f"/>
              </a:solidFill>
              <a:ln w="0">
                <a:noFill/>
              </a:ln>
            </c:spPr>
          </c:dPt>
          <c:dLbls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老闆總表!$A$5:$A$13</c:f>
              <c:strCache>
                <c:ptCount val="9"/>
                <c:pt idx="0">
                  <c:v>正隆</c:v>
                </c:pt>
                <c:pt idx="1">
                  <c:v>時兆</c:v>
                </c:pt>
                <c:pt idx="2">
                  <c:v>開封</c:v>
                </c:pt>
                <c:pt idx="3">
                  <c:v>南京</c:v>
                </c:pt>
                <c:pt idx="4">
                  <c:v>JPR</c:v>
                </c:pt>
                <c:pt idx="5">
                  <c:v>台視</c:v>
                </c:pt>
                <c:pt idx="6">
                  <c:v>亞曼尼</c:v>
                </c:pt>
                <c:pt idx="7">
                  <c:v>復興</c:v>
                </c:pt>
                <c:pt idx="8">
                  <c:v>安幸辦公室</c:v>
                </c:pt>
              </c:strCache>
            </c:strRef>
          </c:cat>
          <c:val>
            <c:numRef>
              <c:f>老闆總表!$K$5:$K$13</c:f>
              <c:numCache>
                <c:formatCode>#,##0.##</c:formatCode>
                <c:ptCount val="9"/>
                <c:pt idx="0">
                  <c:v>1276836</c:v>
                </c:pt>
                <c:pt idx="1">
                  <c:v>270422</c:v>
                </c:pt>
                <c:pt idx="2">
                  <c:v>60539</c:v>
                </c:pt>
                <c:pt idx="3">
                  <c:v>96255</c:v>
                </c:pt>
                <c:pt idx="4">
                  <c:v>-17508</c:v>
                </c:pt>
                <c:pt idx="5">
                  <c:v>29450</c:v>
                </c:pt>
                <c:pt idx="6">
                  <c:v>2523.2</c:v>
                </c:pt>
                <c:pt idx="7">
                  <c:v>-8533</c:v>
                </c:pt>
                <c:pt idx="8">
                  <c:v>-125603</c:v>
                </c:pt>
              </c:numCache>
            </c:numRef>
          </c:val>
        </c:ser>
        <c:gapWidth val="45"/>
        <c:overlap val="0"/>
        <c:axId val="72432731"/>
        <c:axId val="4957981"/>
      </c:barChart>
      <c:catAx>
        <c:axId val="724327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7981"/>
        <c:crosses val="autoZero"/>
        <c:auto val="1"/>
        <c:lblAlgn val="ctr"/>
        <c:lblOffset val="100"/>
        <c:noMultiLvlLbl val="0"/>
      </c:catAx>
      <c:valAx>
        <c:axId val="4957981"/>
        <c:scaling>
          <c:orientation val="minMax"/>
        </c:scaling>
        <c:delete val="0"/>
        <c:axPos val="l"/>
        <c:numFmt formatCode="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327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老闆總表!L4</c:f>
              <c:strCache>
                <c:ptCount val="1"/>
                <c:pt idx="0">
                  <c:v>利潤率</c:v>
                </c:pt>
              </c:strCache>
            </c:strRef>
          </c:tx>
          <c:spPr>
            <a:solidFill>
              <a:srgbClr val="a49e94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a3543f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a3543f"/>
              </a:solidFill>
              <a:ln w="0">
                <a:noFill/>
              </a:ln>
            </c:spPr>
          </c:dPt>
          <c:dLbls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老闆總表!$A$5:$A$13</c:f>
              <c:strCache>
                <c:ptCount val="9"/>
                <c:pt idx="0">
                  <c:v>正隆</c:v>
                </c:pt>
                <c:pt idx="1">
                  <c:v>時兆</c:v>
                </c:pt>
                <c:pt idx="2">
                  <c:v>開封</c:v>
                </c:pt>
                <c:pt idx="3">
                  <c:v>南京</c:v>
                </c:pt>
                <c:pt idx="4">
                  <c:v>JPR</c:v>
                </c:pt>
                <c:pt idx="5">
                  <c:v>台視</c:v>
                </c:pt>
                <c:pt idx="6">
                  <c:v>亞曼尼</c:v>
                </c:pt>
                <c:pt idx="7">
                  <c:v>復興</c:v>
                </c:pt>
                <c:pt idx="8">
                  <c:v>安幸辦公室</c:v>
                </c:pt>
              </c:strCache>
            </c:strRef>
          </c:cat>
          <c:val>
            <c:numRef>
              <c:f>老闆總表!$L$5:$L$13</c:f>
              <c:numCache>
                <c:formatCode>0.0%</c:formatCode>
                <c:ptCount val="9"/>
                <c:pt idx="0">
                  <c:v>0.163632477055191</c:v>
                </c:pt>
                <c:pt idx="1">
                  <c:v>0.331555535938481</c:v>
                </c:pt>
                <c:pt idx="2">
                  <c:v>0.213971653765949</c:v>
                </c:pt>
                <c:pt idx="3">
                  <c:v>0.449336184038541</c:v>
                </c:pt>
                <c:pt idx="4">
                  <c:v>-0.214094427528523</c:v>
                </c:pt>
                <c:pt idx="5">
                  <c:v>0.429588353706567</c:v>
                </c:pt>
                <c:pt idx="6">
                  <c:v>1</c:v>
                </c:pt>
                <c:pt idx="8">
                  <c:v>-0.270282541800263</c:v>
                </c:pt>
              </c:numCache>
            </c:numRef>
          </c:val>
        </c:ser>
        <c:gapWidth val="55"/>
        <c:overlap val="0"/>
        <c:axId val="2711435"/>
        <c:axId val="69487924"/>
      </c:barChart>
      <c:catAx>
        <c:axId val="27114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87924"/>
        <c:crosses val="autoZero"/>
        <c:auto val="1"/>
        <c:lblAlgn val="ctr"/>
        <c:lblOffset val="100"/>
        <c:noMultiLvlLbl val="0"/>
      </c:catAx>
      <c:valAx>
        <c:axId val="6948792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14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10</xdr:col>
      <xdr:colOff>84600</xdr:colOff>
      <xdr:row>26</xdr:row>
      <xdr:rowOff>165960</xdr:rowOff>
    </xdr:to>
    <xdr:graphicFrame>
      <xdr:nvGraphicFramePr>
        <xdr:cNvPr id="0" name="Chart 1"/>
        <xdr:cNvGraphicFramePr/>
      </xdr:nvGraphicFramePr>
      <xdr:xfrm>
        <a:off x="211320" y="2362320"/>
        <a:ext cx="7415280" cy="302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84600</xdr:colOff>
      <xdr:row>43</xdr:row>
      <xdr:rowOff>114840</xdr:rowOff>
    </xdr:to>
    <xdr:graphicFrame>
      <xdr:nvGraphicFramePr>
        <xdr:cNvPr id="1" name="Chart 2"/>
        <xdr:cNvGraphicFramePr/>
      </xdr:nvGraphicFramePr>
      <xdr:xfrm>
        <a:off x="211320" y="5981760"/>
        <a:ext cx="7415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1D17"/>
    <pageSetUpPr fitToPage="false"/>
  </sheetPr>
  <dimension ref="B2:J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6"/>
    <col collapsed="false" customWidth="true" hidden="false" outlineLevel="0" max="4" min="4" style="1" width="16"/>
    <col collapsed="false" customWidth="true" hidden="false" outlineLevel="0" max="5" min="5" style="1" width="6"/>
    <col collapsed="false" customWidth="true" hidden="false" outlineLevel="0" max="6" min="6" style="1" width="16"/>
    <col collapsed="false" customWidth="true" hidden="false" outlineLevel="0" max="7" min="7" style="1" width="6"/>
    <col collapsed="false" customWidth="true" hidden="false" outlineLevel="0" max="8" min="8" style="1" width="16"/>
    <col collapsed="false" customWidth="true" hidden="false" outlineLevel="0" max="9" min="9" style="1" width="6"/>
    <col collapsed="false" customWidth="true" hidden="false" outlineLevel="0" max="10" min="10" style="1" width="16"/>
    <col collapsed="false" customWidth="true" hidden="false" outlineLevel="0" max="11" min="11" style="1" width="3"/>
  </cols>
  <sheetData>
    <row r="2" customFormat="false" ht="30" hidden="false" customHeight="true" outlineLevel="0" collapsed="false">
      <c r="B2" s="2" t="s">
        <v>0</v>
      </c>
      <c r="J2" s="3" t="s">
        <v>1</v>
      </c>
    </row>
    <row r="3" customFormat="false" ht="15" hidden="false" customHeight="true" outlineLevel="0" collapsed="false">
      <c r="B3" s="4" t="s">
        <v>2</v>
      </c>
    </row>
    <row r="4" customFormat="false" ht="6" hidden="false" customHeight="true" outlineLevel="0" collapsed="false">
      <c r="B4" s="5"/>
      <c r="C4" s="5"/>
      <c r="D4" s="5"/>
      <c r="E4" s="5"/>
      <c r="F4" s="5"/>
      <c r="G4" s="5"/>
      <c r="H4" s="5"/>
      <c r="I4" s="5"/>
      <c r="J4" s="5"/>
    </row>
    <row r="6" customFormat="false" ht="15" hidden="false" customHeight="true" outlineLevel="0" collapsed="false">
      <c r="B6" s="6" t="s">
        <v>3</v>
      </c>
      <c r="D6" s="6" t="s">
        <v>4</v>
      </c>
      <c r="F6" s="6" t="s">
        <v>5</v>
      </c>
      <c r="H6" s="6" t="s">
        <v>6</v>
      </c>
      <c r="J6" s="7" t="s">
        <v>7</v>
      </c>
    </row>
    <row r="7" customFormat="false" ht="15" hidden="false" customHeight="true" outlineLevel="0" collapsed="false">
      <c r="B7" s="8" t="s">
        <v>8</v>
      </c>
      <c r="D7" s="8" t="s">
        <v>9</v>
      </c>
      <c r="F7" s="8" t="s">
        <v>10</v>
      </c>
      <c r="H7" s="8" t="s">
        <v>11</v>
      </c>
      <c r="J7" s="8" t="s">
        <v>12</v>
      </c>
    </row>
    <row r="8" customFormat="false" ht="30" hidden="false" customHeight="true" outlineLevel="0" collapsed="false">
      <c r="B8" s="9" t="n">
        <f aca="false">老闆總表!D14</f>
        <v>9733398.2</v>
      </c>
      <c r="D8" s="9" t="n">
        <f aca="false">老闆總表!J14</f>
        <v>8149017</v>
      </c>
      <c r="F8" s="10" t="n">
        <f aca="false">老闆總表!K14</f>
        <v>1584381.2</v>
      </c>
      <c r="H8" s="11" t="n">
        <f aca="false">老闆總表!L14</f>
        <v>0.162777805597227</v>
      </c>
      <c r="J8" s="9" t="n">
        <f aca="false">Jim個人!D14</f>
        <v>865617.26</v>
      </c>
    </row>
    <row r="11" customFormat="false" ht="15" hidden="false" customHeight="true" outlineLevel="0" collapsed="false">
      <c r="B11" s="12" t="s">
        <v>13</v>
      </c>
      <c r="D11" s="13" t="s">
        <v>14</v>
      </c>
    </row>
    <row r="30" customFormat="false" ht="15" hidden="false" customHeight="true" outlineLevel="0" collapsed="false">
      <c r="B30" s="12" t="s">
        <v>15</v>
      </c>
      <c r="D30" s="13" t="s">
        <v>16</v>
      </c>
    </row>
    <row r="47" customFormat="false" ht="15" hidden="false" customHeight="true" outlineLevel="0" collapsed="false">
      <c r="B47" s="12" t="s">
        <v>17</v>
      </c>
    </row>
    <row r="48" customFormat="false" ht="21.75" hidden="false" customHeight="true" outlineLevel="0" collapsed="false">
      <c r="B48" s="14" t="s">
        <v>18</v>
      </c>
      <c r="C48" s="14"/>
      <c r="D48" s="14"/>
      <c r="E48" s="14"/>
      <c r="F48" s="14"/>
      <c r="G48" s="14"/>
      <c r="H48" s="14"/>
      <c r="I48" s="14"/>
      <c r="J48" s="14"/>
    </row>
    <row r="49" customFormat="false" ht="21.75" hidden="false" customHeight="true" outlineLevel="0" collapsed="false">
      <c r="B49" s="14" t="s">
        <v>19</v>
      </c>
      <c r="C49" s="14"/>
      <c r="D49" s="14"/>
      <c r="E49" s="14"/>
      <c r="F49" s="14"/>
      <c r="G49" s="14"/>
      <c r="H49" s="14"/>
      <c r="I49" s="14"/>
      <c r="J49" s="14"/>
    </row>
    <row r="50" customFormat="false" ht="21.75" hidden="false" customHeight="true" outlineLevel="0" collapsed="false">
      <c r="B50" s="14" t="s">
        <v>20</v>
      </c>
      <c r="C50" s="14"/>
      <c r="D50" s="14"/>
      <c r="E50" s="14"/>
      <c r="F50" s="14"/>
      <c r="G50" s="14"/>
      <c r="H50" s="14"/>
      <c r="I50" s="14"/>
      <c r="J50" s="14"/>
    </row>
  </sheetData>
  <mergeCells count="3">
    <mergeCell ref="B48:J48"/>
    <mergeCell ref="B49:J49"/>
    <mergeCell ref="B50:J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2C4"/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13"/>
    <col collapsed="false" customWidth="true" hidden="false" outlineLevel="0" max="12" min="12" style="1" width="8.5"/>
    <col collapsed="false" customWidth="true" hidden="false" outlineLevel="0" max="13" min="13" style="1" width="44"/>
  </cols>
  <sheetData>
    <row r="1" customFormat="false" ht="27.75" hidden="false" customHeight="true" outlineLevel="0" collapsed="false">
      <c r="A1" s="15" t="s">
        <v>13</v>
      </c>
      <c r="M1" s="3" t="s">
        <v>21</v>
      </c>
    </row>
    <row r="2" customFormat="false" ht="13.5" hidden="false" customHeight="true" outlineLevel="0" collapsed="false">
      <c r="A2" s="16" t="s">
        <v>22</v>
      </c>
    </row>
    <row r="3" customFormat="false" ht="6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24" hidden="false" customHeight="true" outlineLevel="0" collapsed="false">
      <c r="A4" s="17" t="s">
        <v>23</v>
      </c>
      <c r="B4" s="18" t="s">
        <v>24</v>
      </c>
      <c r="C4" s="18" t="s">
        <v>25</v>
      </c>
      <c r="D4" s="18" t="s">
        <v>26</v>
      </c>
      <c r="E4" s="18" t="s">
        <v>27</v>
      </c>
      <c r="F4" s="18" t="s">
        <v>28</v>
      </c>
      <c r="G4" s="18" t="s">
        <v>29</v>
      </c>
      <c r="H4" s="18" t="s">
        <v>30</v>
      </c>
      <c r="I4" s="18" t="s">
        <v>31</v>
      </c>
      <c r="J4" s="18" t="s">
        <v>32</v>
      </c>
      <c r="K4" s="18" t="s">
        <v>5</v>
      </c>
      <c r="L4" s="18" t="s">
        <v>6</v>
      </c>
      <c r="M4" s="17" t="s">
        <v>33</v>
      </c>
    </row>
    <row r="5" customFormat="false" ht="25.5" hidden="false" customHeight="true" outlineLevel="0" collapsed="false">
      <c r="A5" s="19" t="s">
        <v>34</v>
      </c>
      <c r="B5" s="20" t="n">
        <f aca="false">SUMIFS(報表數據!B:B,報表數據!A:A,A5)</f>
        <v>7803072</v>
      </c>
      <c r="C5" s="20" t="n">
        <f aca="false">SUMIFS(調整明細!D:D,調整明細!A:A,A5,調整明細!B:B,"營收調整")</f>
        <v>0</v>
      </c>
      <c r="D5" s="20" t="n">
        <f aca="false">B5+C5</f>
        <v>7803072</v>
      </c>
      <c r="E5" s="20" t="n">
        <f aca="false">SUMIFS(報表數據!C:C,報表數據!A:A,A5)</f>
        <v>6526236</v>
      </c>
      <c r="F5" s="20" t="n">
        <f aca="false">SUMIFS(調整明細!D:D,調整明細!A:A,A5,調整明細!B:B,"成本調整")</f>
        <v>-200000</v>
      </c>
      <c r="G5" s="21" t="n">
        <f aca="false">SUMIFS(調整明細!D:D,調整明細!A:A,A5,調整明細!B:B,"房東租金")</f>
        <v>0</v>
      </c>
      <c r="H5" s="21" t="n">
        <f aca="false">SUMIFS(調整明細!D:D,調整明細!A:A,A5,調整明細!B:B,"付安幸辦公室")</f>
        <v>200000</v>
      </c>
      <c r="I5" s="21" t="n">
        <f aca="false">SUMIFS(調整明細!D:D,調整明細!A:A,A5,調整明細!B:B,"薪資")</f>
        <v>0</v>
      </c>
      <c r="J5" s="20" t="n">
        <f aca="false">E5+F5+G5+H5+I5</f>
        <v>6526236</v>
      </c>
      <c r="K5" s="20" t="n">
        <f aca="false">D5-J5</f>
        <v>1276836</v>
      </c>
      <c r="L5" s="22" t="n">
        <f aca="false">IF(D5=0,"",K5/D5)</f>
        <v>0.163632477055191</v>
      </c>
      <c r="M5" s="23" t="s">
        <v>35</v>
      </c>
    </row>
    <row r="6" customFormat="false" ht="25.5" hidden="false" customHeight="true" outlineLevel="0" collapsed="false">
      <c r="A6" s="19" t="s">
        <v>36</v>
      </c>
      <c r="B6" s="20" t="n">
        <f aca="false">SUMIFS(報表數據!B:B,報表數據!A:A,A6)</f>
        <v>815616</v>
      </c>
      <c r="C6" s="20" t="n">
        <f aca="false">SUMIFS(調整明細!D:D,調整明細!A:A,A6,調整明細!B:B,"營收調整")</f>
        <v>0</v>
      </c>
      <c r="D6" s="20" t="n">
        <f aca="false">B6+C6</f>
        <v>815616</v>
      </c>
      <c r="E6" s="20" t="n">
        <f aca="false">SUMIFS(報表數據!C:C,報表數據!A:A,A6)</f>
        <v>455194</v>
      </c>
      <c r="F6" s="20" t="n">
        <f aca="false">SUMIFS(調整明細!D:D,調整明細!A:A,A6,調整明細!B:B,"成本調整")</f>
        <v>0</v>
      </c>
      <c r="G6" s="21" t="n">
        <f aca="false">SUMIFS(調整明細!D:D,調整明細!A:A,A6,調整明細!B:B,"房東租金")</f>
        <v>0</v>
      </c>
      <c r="H6" s="21" t="n">
        <f aca="false">SUMIFS(調整明細!D:D,調整明細!A:A,A6,調整明細!B:B,"付安幸辦公室")</f>
        <v>90000</v>
      </c>
      <c r="I6" s="21" t="n">
        <f aca="false">SUMIFS(調整明細!D:D,調整明細!A:A,A6,調整明細!B:B,"薪資")</f>
        <v>0</v>
      </c>
      <c r="J6" s="20" t="n">
        <f aca="false">E6+F6+G6+H6+I6</f>
        <v>545194</v>
      </c>
      <c r="K6" s="20" t="n">
        <f aca="false">D6-J6</f>
        <v>270422</v>
      </c>
      <c r="L6" s="22" t="n">
        <f aca="false">IF(D6=0,"",K6/D6)</f>
        <v>0.331555535938481</v>
      </c>
      <c r="M6" s="23" t="s">
        <v>37</v>
      </c>
    </row>
    <row r="7" customFormat="false" ht="25.5" hidden="false" customHeight="true" outlineLevel="0" collapsed="false">
      <c r="A7" s="19" t="s">
        <v>38</v>
      </c>
      <c r="B7" s="20" t="n">
        <f aca="false">SUMIFS(報表數據!B:B,報表數據!A:A,A7)</f>
        <v>282930</v>
      </c>
      <c r="C7" s="20" t="n">
        <f aca="false">SUMIFS(調整明細!D:D,調整明細!A:A,A7,調整明細!B:B,"營收調整")</f>
        <v>0</v>
      </c>
      <c r="D7" s="20" t="n">
        <f aca="false">B7+C7</f>
        <v>282930</v>
      </c>
      <c r="E7" s="20" t="n">
        <f aca="false">SUMIFS(報表數據!C:C,報表數據!A:A,A7)</f>
        <v>174391</v>
      </c>
      <c r="F7" s="20" t="n">
        <f aca="false">SUMIFS(調整明細!D:D,調整明細!A:A,A7,調整明細!B:B,"成本調整")</f>
        <v>0</v>
      </c>
      <c r="G7" s="21" t="n">
        <f aca="false">SUMIFS(調整明細!D:D,調整明細!A:A,A7,調整明細!B:B,"房東租金")</f>
        <v>0</v>
      </c>
      <c r="H7" s="21" t="n">
        <f aca="false">SUMIFS(調整明細!D:D,調整明細!A:A,A7,調整明細!B:B,"付安幸辦公室")</f>
        <v>48000</v>
      </c>
      <c r="I7" s="21" t="n">
        <f aca="false">SUMIFS(調整明細!D:D,調整明細!A:A,A7,調整明細!B:B,"薪資")</f>
        <v>0</v>
      </c>
      <c r="J7" s="20" t="n">
        <f aca="false">E7+F7+G7+H7+I7</f>
        <v>222391</v>
      </c>
      <c r="K7" s="20" t="n">
        <f aca="false">D7-J7</f>
        <v>60539</v>
      </c>
      <c r="L7" s="22" t="n">
        <f aca="false">IF(D7=0,"",K7/D7)</f>
        <v>0.213971653765949</v>
      </c>
      <c r="M7" s="23" t="s">
        <v>39</v>
      </c>
    </row>
    <row r="8" customFormat="false" ht="25.5" hidden="false" customHeight="true" outlineLevel="0" collapsed="false">
      <c r="A8" s="19" t="s">
        <v>40</v>
      </c>
      <c r="B8" s="20" t="n">
        <f aca="false">SUMIFS(報表數據!B:B,報表數據!A:A,A8)</f>
        <v>214216</v>
      </c>
      <c r="C8" s="20" t="n">
        <f aca="false">SUMIFS(調整明細!D:D,調整明細!A:A,A8,調整明細!B:B,"營收調整")</f>
        <v>0</v>
      </c>
      <c r="D8" s="20" t="n">
        <f aca="false">B8+C8</f>
        <v>214216</v>
      </c>
      <c r="E8" s="20" t="n">
        <f aca="false">SUMIFS(報表數據!C:C,報表數據!A:A,A8)</f>
        <v>92961</v>
      </c>
      <c r="F8" s="20" t="n">
        <f aca="false">SUMIFS(調整明細!D:D,調整明細!A:A,A8,調整明細!B:B,"成本調整")</f>
        <v>0</v>
      </c>
      <c r="G8" s="21" t="n">
        <f aca="false">SUMIFS(調整明細!D:D,調整明細!A:A,A8,調整明細!B:B,"房東租金")</f>
        <v>25000</v>
      </c>
      <c r="H8" s="21" t="n">
        <f aca="false">SUMIFS(調整明細!D:D,調整明細!A:A,A8,調整明細!B:B,"付安幸辦公室")</f>
        <v>0</v>
      </c>
      <c r="I8" s="21" t="n">
        <f aca="false">SUMIFS(調整明細!D:D,調整明細!A:A,A8,調整明細!B:B,"薪資")</f>
        <v>0</v>
      </c>
      <c r="J8" s="20" t="n">
        <f aca="false">E8+F8+G8+H8+I8</f>
        <v>117961</v>
      </c>
      <c r="K8" s="20" t="n">
        <f aca="false">D8-J8</f>
        <v>96255</v>
      </c>
      <c r="L8" s="22" t="n">
        <f aca="false">IF(D8=0,"",K8/D8)</f>
        <v>0.449336184038541</v>
      </c>
      <c r="M8" s="23" t="s">
        <v>41</v>
      </c>
    </row>
    <row r="9" customFormat="false" ht="25.5" hidden="false" customHeight="true" outlineLevel="0" collapsed="false">
      <c r="A9" s="24" t="s">
        <v>42</v>
      </c>
      <c r="B9" s="20" t="n">
        <f aca="false">SUMIFS(報表數據!B:B,報表數據!A:A,A9)</f>
        <v>81777</v>
      </c>
      <c r="C9" s="20" t="n">
        <f aca="false">SUMIFS(調整明細!D:D,調整明細!A:A,A9,調整明細!B:B,"營收調整")</f>
        <v>0</v>
      </c>
      <c r="D9" s="20" t="n">
        <f aca="false">B9+C9</f>
        <v>81777</v>
      </c>
      <c r="E9" s="20" t="n">
        <f aca="false">SUMIFS(報表數據!C:C,報表數據!A:A,A9)</f>
        <v>17285</v>
      </c>
      <c r="F9" s="20" t="n">
        <f aca="false">SUMIFS(調整明細!D:D,調整明細!A:A,A9,調整明細!B:B,"成本調整")</f>
        <v>0</v>
      </c>
      <c r="G9" s="21" t="n">
        <f aca="false">SUMIFS(調整明細!D:D,調整明細!A:A,A9,調整明細!B:B,"房東租金")</f>
        <v>42000</v>
      </c>
      <c r="H9" s="21" t="n">
        <f aca="false">SUMIFS(調整明細!D:D,調整明細!A:A,A9,調整明細!B:B,"付安幸辦公室")</f>
        <v>40000</v>
      </c>
      <c r="I9" s="21" t="n">
        <f aca="false">SUMIFS(調整明細!D:D,調整明細!A:A,A9,調整明細!B:B,"薪資")</f>
        <v>0</v>
      </c>
      <c r="J9" s="20" t="n">
        <f aca="false">E9+F9+G9+H9+I9</f>
        <v>99285</v>
      </c>
      <c r="K9" s="20" t="n">
        <f aca="false">D9-J9</f>
        <v>-17508</v>
      </c>
      <c r="L9" s="22" t="n">
        <f aca="false">IF(D9=0,"",K9/D9)</f>
        <v>-0.214094427528523</v>
      </c>
      <c r="M9" s="23" t="s">
        <v>43</v>
      </c>
    </row>
    <row r="10" customFormat="false" ht="25.5" hidden="false" customHeight="true" outlineLevel="0" collapsed="false">
      <c r="A10" s="19" t="s">
        <v>44</v>
      </c>
      <c r="B10" s="20" t="n">
        <f aca="false">SUMIFS(報表數據!B:B,報表數據!A:A,A10)</f>
        <v>68554</v>
      </c>
      <c r="C10" s="20" t="n">
        <f aca="false">SUMIFS(調整明細!D:D,調整明細!A:A,A10,調整明細!B:B,"營收調整")</f>
        <v>0</v>
      </c>
      <c r="D10" s="20" t="n">
        <f aca="false">B10+C10</f>
        <v>68554</v>
      </c>
      <c r="E10" s="20" t="n">
        <f aca="false">SUMIFS(報表數據!C:C,報表數據!A:A,A10)</f>
        <v>9104</v>
      </c>
      <c r="F10" s="20" t="n">
        <f aca="false">SUMIFS(調整明細!D:D,調整明細!A:A,A10,調整明細!B:B,"成本調整")</f>
        <v>0</v>
      </c>
      <c r="G10" s="21" t="n">
        <f aca="false">SUMIFS(調整明細!D:D,調整明細!A:A,A10,調整明細!B:B,"房東租金")</f>
        <v>30000</v>
      </c>
      <c r="H10" s="21" t="n">
        <f aca="false">SUMIFS(調整明細!D:D,調整明細!A:A,A10,調整明細!B:B,"付安幸辦公室")</f>
        <v>0</v>
      </c>
      <c r="I10" s="21" t="n">
        <f aca="false">SUMIFS(調整明細!D:D,調整明細!A:A,A10,調整明細!B:B,"薪資")</f>
        <v>0</v>
      </c>
      <c r="J10" s="20" t="n">
        <f aca="false">E10+F10+G10+H10+I10</f>
        <v>39104</v>
      </c>
      <c r="K10" s="20" t="n">
        <f aca="false">D10-J10</f>
        <v>29450</v>
      </c>
      <c r="L10" s="22" t="n">
        <f aca="false">IF(D10=0,"",K10/D10)</f>
        <v>0.429588353706567</v>
      </c>
      <c r="M10" s="23" t="s">
        <v>45</v>
      </c>
    </row>
    <row r="11" customFormat="false" ht="25.5" hidden="false" customHeight="true" outlineLevel="0" collapsed="false">
      <c r="A11" s="19" t="s">
        <v>46</v>
      </c>
      <c r="B11" s="20" t="n">
        <f aca="false">SUMIFS(報表數據!B:B,報表數據!A:A,A11)</f>
        <v>5744</v>
      </c>
      <c r="C11" s="20" t="n">
        <f aca="false">SUMIFS(調整明細!D:D,調整明細!A:A,A11,調整明細!B:B,"營收調整")</f>
        <v>-3220.8</v>
      </c>
      <c r="D11" s="20" t="n">
        <f aca="false">B11+C11</f>
        <v>2523.2</v>
      </c>
      <c r="E11" s="20" t="n">
        <f aca="false">SUMIFS(報表數據!C:C,報表數據!A:A,A11)</f>
        <v>2820.28</v>
      </c>
      <c r="F11" s="20" t="n">
        <f aca="false">SUMIFS(調整明細!D:D,調整明細!A:A,A11,調整明細!B:B,"成本調整")</f>
        <v>-2820.28</v>
      </c>
      <c r="G11" s="21" t="n">
        <f aca="false">SUMIFS(調整明細!D:D,調整明細!A:A,A11,調整明細!B:B,"房東租金")</f>
        <v>0</v>
      </c>
      <c r="H11" s="21" t="n">
        <f aca="false">SUMIFS(調整明細!D:D,調整明細!A:A,A11,調整明細!B:B,"付安幸辦公室")</f>
        <v>0</v>
      </c>
      <c r="I11" s="21" t="n">
        <f aca="false">SUMIFS(調整明細!D:D,調整明細!A:A,A11,調整明細!B:B,"薪資")</f>
        <v>0</v>
      </c>
      <c r="J11" s="20" t="n">
        <f aca="false">E11+F11+G11+H11+I11</f>
        <v>0</v>
      </c>
      <c r="K11" s="20" t="n">
        <f aca="false">D11-J11</f>
        <v>2523.2</v>
      </c>
      <c r="L11" s="22" t="n">
        <f aca="false">IF(D11=0,"",K11/D11)</f>
        <v>1</v>
      </c>
      <c r="M11" s="25" t="s">
        <v>47</v>
      </c>
    </row>
    <row r="12" customFormat="false" ht="25.5" hidden="false" customHeight="true" outlineLevel="0" collapsed="false">
      <c r="A12" s="19" t="s">
        <v>48</v>
      </c>
      <c r="B12" s="20" t="n">
        <f aca="false">SUMIFS(報表數據!B:B,報表數據!A:A,A12)</f>
        <v>0</v>
      </c>
      <c r="C12" s="20" t="n">
        <f aca="false">SUMIFS(調整明細!D:D,調整明細!A:A,A12,調整明細!B:B,"營收調整")</f>
        <v>0</v>
      </c>
      <c r="D12" s="20" t="n">
        <f aca="false">B12+C12</f>
        <v>0</v>
      </c>
      <c r="E12" s="20" t="n">
        <f aca="false">SUMIFS(報表數據!C:C,報表數據!A:A,A12)</f>
        <v>8533</v>
      </c>
      <c r="F12" s="20" t="n">
        <f aca="false">SUMIFS(調整明細!D:D,調整明細!A:A,A12,調整明細!B:B,"成本調整")</f>
        <v>0</v>
      </c>
      <c r="G12" s="21" t="n">
        <f aca="false">SUMIFS(調整明細!D:D,調整明細!A:A,A12,調整明細!B:B,"房東租金")</f>
        <v>0</v>
      </c>
      <c r="H12" s="21" t="n">
        <f aca="false">SUMIFS(調整明細!D:D,調整明細!A:A,A12,調整明細!B:B,"付安幸辦公室")</f>
        <v>0</v>
      </c>
      <c r="I12" s="21" t="n">
        <f aca="false">SUMIFS(調整明細!D:D,調整明細!A:A,A12,調整明細!B:B,"薪資")</f>
        <v>0</v>
      </c>
      <c r="J12" s="20" t="n">
        <f aca="false">E12+F12+G12+H12+I12</f>
        <v>8533</v>
      </c>
      <c r="K12" s="20" t="n">
        <f aca="false">D12-J12</f>
        <v>-8533</v>
      </c>
      <c r="L12" s="22" t="str">
        <f aca="false">IF(D12=0,"",K12/D12)</f>
        <v/>
      </c>
      <c r="M12" s="23" t="s">
        <v>49</v>
      </c>
    </row>
    <row r="13" customFormat="false" ht="25.5" hidden="false" customHeight="true" outlineLevel="0" collapsed="false">
      <c r="A13" s="19" t="s">
        <v>50</v>
      </c>
      <c r="B13" s="20" t="n">
        <f aca="false">SUMIFS(報表數據!B:B,報表數據!A:A,A13)</f>
        <v>287510</v>
      </c>
      <c r="C13" s="20" t="n">
        <f aca="false">SUMIFS(調整明細!D:D,調整明細!A:A,A13,調整明細!B:B,"營收調整")</f>
        <v>177200</v>
      </c>
      <c r="D13" s="20" t="n">
        <f aca="false">B13+C13</f>
        <v>464710</v>
      </c>
      <c r="E13" s="20" t="n">
        <f aca="false">SUMIFS(報表數據!C:C,報表數據!A:A,A13)</f>
        <v>148939</v>
      </c>
      <c r="F13" s="20" t="n">
        <f aca="false">SUMIFS(調整明細!D:D,調整明細!A:A,A13,調整明細!B:B,"成本調整")</f>
        <v>0</v>
      </c>
      <c r="G13" s="21" t="n">
        <f aca="false">SUMIFS(調整明細!D:D,調整明細!A:A,A13,調整明細!B:B,"房東租金")</f>
        <v>0</v>
      </c>
      <c r="H13" s="21" t="n">
        <f aca="false">SUMIFS(調整明細!D:D,調整明細!A:A,A13,調整明細!B:B,"付安幸辦公室")</f>
        <v>0</v>
      </c>
      <c r="I13" s="21" t="n">
        <f aca="false">SUMIFS(調整明細!D:D,調整明細!A:A,A13,調整明細!B:B,"薪資")</f>
        <v>441374</v>
      </c>
      <c r="J13" s="20" t="n">
        <f aca="false">E13+F13+G13+H13+I13</f>
        <v>590313</v>
      </c>
      <c r="K13" s="20" t="n">
        <f aca="false">D13-J13</f>
        <v>-125603</v>
      </c>
      <c r="L13" s="22" t="n">
        <f aca="false">IF(D13=0,"",K13/D13)</f>
        <v>-0.270282541800263</v>
      </c>
      <c r="M13" s="23" t="s">
        <v>51</v>
      </c>
    </row>
    <row r="14" customFormat="false" ht="30" hidden="false" customHeight="true" outlineLevel="0" collapsed="false">
      <c r="A14" s="26" t="s">
        <v>52</v>
      </c>
      <c r="B14" s="27" t="n">
        <f aca="false">SUM(B5:B13)</f>
        <v>9559419</v>
      </c>
      <c r="C14" s="27" t="n">
        <f aca="false">SUM(C5:C13)</f>
        <v>173979.2</v>
      </c>
      <c r="D14" s="27" t="n">
        <f aca="false">SUM(D5:D13)</f>
        <v>9733398.2</v>
      </c>
      <c r="E14" s="27" t="n">
        <f aca="false">SUM(E5:E13)</f>
        <v>7435463.28</v>
      </c>
      <c r="F14" s="27" t="n">
        <f aca="false">SUM(F5:F13)</f>
        <v>-202820.28</v>
      </c>
      <c r="G14" s="28" t="n">
        <f aca="false">SUM(G5:G13)</f>
        <v>97000</v>
      </c>
      <c r="H14" s="28" t="n">
        <f aca="false">SUM(H5:H13)</f>
        <v>378000</v>
      </c>
      <c r="I14" s="28" t="n">
        <f aca="false">SUM(I5:I13)</f>
        <v>441374</v>
      </c>
      <c r="J14" s="27" t="n">
        <f aca="false">SUM(J5:J13)</f>
        <v>8149017</v>
      </c>
      <c r="K14" s="27" t="n">
        <f aca="false">SUM(K5:K13)</f>
        <v>1584381.2</v>
      </c>
      <c r="L14" s="29" t="n">
        <f aca="false">IF(D14=0,"",K14/D14)</f>
        <v>0.162777805597227</v>
      </c>
      <c r="M14" s="30" t="s">
        <v>53</v>
      </c>
    </row>
  </sheetData>
  <conditionalFormatting sqref="C5:L1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2C4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38"/>
  </cols>
  <sheetData>
    <row r="1" customFormat="false" ht="27.75" hidden="false" customHeight="true" outlineLevel="0" collapsed="false">
      <c r="A1" s="31" t="s">
        <v>54</v>
      </c>
      <c r="F1" s="3" t="s">
        <v>55</v>
      </c>
    </row>
    <row r="2" customFormat="false" ht="13.5" hidden="false" customHeight="true" outlineLevel="0" collapsed="false">
      <c r="A2" s="16" t="s">
        <v>56</v>
      </c>
    </row>
    <row r="3" customFormat="false" ht="6" hidden="false" customHeight="true" outlineLevel="0" collapsed="false">
      <c r="A3" s="5"/>
      <c r="B3" s="5"/>
      <c r="C3" s="5"/>
      <c r="D3" s="5"/>
      <c r="E3" s="5"/>
      <c r="F3" s="5"/>
    </row>
    <row r="4" customFormat="false" ht="24" hidden="false" customHeight="true" outlineLevel="0" collapsed="false">
      <c r="A4" s="17" t="s">
        <v>23</v>
      </c>
      <c r="B4" s="18" t="s">
        <v>5</v>
      </c>
      <c r="C4" s="32" t="s">
        <v>57</v>
      </c>
      <c r="D4" s="32" t="s">
        <v>58</v>
      </c>
      <c r="E4" s="18" t="s">
        <v>59</v>
      </c>
      <c r="F4" s="17" t="s">
        <v>60</v>
      </c>
    </row>
    <row r="5" customFormat="false" ht="25.5" hidden="false" customHeight="true" outlineLevel="0" collapsed="false">
      <c r="A5" s="19" t="s">
        <v>34</v>
      </c>
      <c r="B5" s="20" t="n">
        <f aca="false">老闆總表!K5</f>
        <v>1276836</v>
      </c>
      <c r="C5" s="33" t="n">
        <v>0.5</v>
      </c>
      <c r="D5" s="34" t="n">
        <f aca="false">B5*C5</f>
        <v>638418</v>
      </c>
      <c r="E5" s="20" t="n">
        <f aca="false">B5-D5</f>
        <v>638418</v>
      </c>
      <c r="F5" s="25" t="s">
        <v>61</v>
      </c>
    </row>
    <row r="6" customFormat="false" ht="25.5" hidden="false" customHeight="true" outlineLevel="0" collapsed="false">
      <c r="A6" s="19" t="s">
        <v>36</v>
      </c>
      <c r="B6" s="20" t="n">
        <f aca="false">老闆總表!K6</f>
        <v>270422</v>
      </c>
      <c r="C6" s="33" t="n">
        <v>1</v>
      </c>
      <c r="D6" s="34" t="n">
        <f aca="false">B6*C6</f>
        <v>270422</v>
      </c>
      <c r="E6" s="20" t="n">
        <f aca="false">B6-D6</f>
        <v>0</v>
      </c>
      <c r="F6" s="25" t="s">
        <v>62</v>
      </c>
    </row>
    <row r="7" customFormat="false" ht="25.5" hidden="false" customHeight="true" outlineLevel="0" collapsed="false">
      <c r="A7" s="19" t="s">
        <v>38</v>
      </c>
      <c r="B7" s="20" t="n">
        <f aca="false">老闆總表!K7</f>
        <v>60539</v>
      </c>
      <c r="C7" s="33" t="n">
        <v>0.54</v>
      </c>
      <c r="D7" s="34" t="n">
        <f aca="false">B7*C7</f>
        <v>32691.06</v>
      </c>
      <c r="E7" s="20" t="n">
        <f aca="false">B7-D7</f>
        <v>27847.94</v>
      </c>
      <c r="F7" s="25" t="s">
        <v>63</v>
      </c>
    </row>
    <row r="8" customFormat="false" ht="25.5" hidden="false" customHeight="true" outlineLevel="0" collapsed="false">
      <c r="A8" s="19" t="s">
        <v>40</v>
      </c>
      <c r="B8" s="20" t="n">
        <f aca="false">老闆總表!K8</f>
        <v>96255</v>
      </c>
      <c r="C8" s="33" t="n">
        <v>0.333333333333333</v>
      </c>
      <c r="D8" s="34" t="n">
        <f aca="false">B8*C8</f>
        <v>32085</v>
      </c>
      <c r="E8" s="20" t="n">
        <f aca="false">B8-D8</f>
        <v>64170</v>
      </c>
      <c r="F8" s="25" t="s">
        <v>64</v>
      </c>
    </row>
    <row r="9" customFormat="false" ht="25.5" hidden="false" customHeight="true" outlineLevel="0" collapsed="false">
      <c r="A9" s="24" t="s">
        <v>42</v>
      </c>
      <c r="B9" s="20" t="n">
        <f aca="false">老闆總表!K9</f>
        <v>-17508</v>
      </c>
      <c r="C9" s="33" t="n">
        <v>0.333333333333333</v>
      </c>
      <c r="D9" s="34" t="n">
        <f aca="false">B9*C9</f>
        <v>-5835.99999999999</v>
      </c>
      <c r="E9" s="20" t="n">
        <f aca="false">B9-D9</f>
        <v>-11672</v>
      </c>
      <c r="F9" s="25" t="s">
        <v>65</v>
      </c>
    </row>
    <row r="10" customFormat="false" ht="25.5" hidden="false" customHeight="true" outlineLevel="0" collapsed="false">
      <c r="A10" s="19" t="s">
        <v>44</v>
      </c>
      <c r="B10" s="20" t="n">
        <f aca="false">老闆總表!K10</f>
        <v>29450</v>
      </c>
      <c r="C10" s="33" t="n">
        <v>1</v>
      </c>
      <c r="D10" s="34" t="n">
        <f aca="false">B10*C10</f>
        <v>29450</v>
      </c>
      <c r="E10" s="20" t="n">
        <f aca="false">B10-D10</f>
        <v>0</v>
      </c>
      <c r="F10" s="25" t="s">
        <v>62</v>
      </c>
    </row>
    <row r="11" customFormat="false" ht="25.5" hidden="false" customHeight="true" outlineLevel="0" collapsed="false">
      <c r="A11" s="19" t="s">
        <v>46</v>
      </c>
      <c r="B11" s="20" t="n">
        <f aca="false">老闆總表!K11</f>
        <v>2523.2</v>
      </c>
      <c r="C11" s="33" t="n">
        <v>1</v>
      </c>
      <c r="D11" s="34" t="n">
        <f aca="false">B11*C11</f>
        <v>2523.2</v>
      </c>
      <c r="E11" s="20" t="n">
        <f aca="false">B11-D11</f>
        <v>0</v>
      </c>
      <c r="F11" s="25" t="s">
        <v>66</v>
      </c>
    </row>
    <row r="12" customFormat="false" ht="25.5" hidden="false" customHeight="true" outlineLevel="0" collapsed="false">
      <c r="A12" s="19" t="s">
        <v>48</v>
      </c>
      <c r="B12" s="20" t="n">
        <f aca="false">老闆總表!K12</f>
        <v>-8533</v>
      </c>
      <c r="C12" s="33" t="n">
        <v>1</v>
      </c>
      <c r="D12" s="34" t="n">
        <f aca="false">B12*C12</f>
        <v>-8533</v>
      </c>
      <c r="E12" s="20" t="n">
        <f aca="false">B12-D12</f>
        <v>0</v>
      </c>
      <c r="F12" s="25" t="s">
        <v>62</v>
      </c>
    </row>
    <row r="13" customFormat="false" ht="25.5" hidden="false" customHeight="true" outlineLevel="0" collapsed="false">
      <c r="A13" s="19" t="s">
        <v>50</v>
      </c>
      <c r="B13" s="20" t="n">
        <f aca="false">老闆總表!K13</f>
        <v>-125603</v>
      </c>
      <c r="C13" s="33" t="n">
        <v>1</v>
      </c>
      <c r="D13" s="34" t="n">
        <f aca="false">B13*C13</f>
        <v>-125603</v>
      </c>
      <c r="E13" s="20" t="n">
        <f aca="false">B13-D13</f>
        <v>0</v>
      </c>
      <c r="F13" s="25" t="s">
        <v>67</v>
      </c>
    </row>
    <row r="14" customFormat="false" ht="30" hidden="false" customHeight="true" outlineLevel="0" collapsed="false">
      <c r="A14" s="26" t="s">
        <v>52</v>
      </c>
      <c r="B14" s="27" t="n">
        <f aca="false">SUM(B5:B13)</f>
        <v>1584381.2</v>
      </c>
      <c r="C14" s="29" t="n">
        <f aca="false">IF(B14=0,"",D14/B14)</f>
        <v>0.546344061643751</v>
      </c>
      <c r="D14" s="27" t="n">
        <f aca="false">SUM(D5:D13)</f>
        <v>865617.26</v>
      </c>
      <c r="E14" s="27" t="n">
        <f aca="false">SUM(E5:E13)</f>
        <v>718763.94</v>
      </c>
      <c r="F14" s="35" t="s">
        <v>68</v>
      </c>
    </row>
  </sheetData>
  <conditionalFormatting sqref="B5:E1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2C4"/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5"/>
    <col collapsed="false" customWidth="true" hidden="false" outlineLevel="0" max="5" min="5" style="1" width="56"/>
  </cols>
  <sheetData>
    <row r="1" customFormat="false" ht="27.75" hidden="false" customHeight="true" outlineLevel="0" collapsed="false">
      <c r="A1" s="15" t="s">
        <v>69</v>
      </c>
      <c r="E1" s="3" t="s">
        <v>70</v>
      </c>
    </row>
    <row r="2" customFormat="false" ht="13.5" hidden="false" customHeight="true" outlineLevel="0" collapsed="false">
      <c r="A2" s="16" t="s">
        <v>71</v>
      </c>
    </row>
    <row r="3" customFormat="false" ht="6" hidden="false" customHeight="true" outlineLevel="0" collapsed="false">
      <c r="A3" s="5"/>
      <c r="B3" s="5"/>
      <c r="C3" s="5"/>
      <c r="D3" s="5"/>
      <c r="E3" s="5"/>
    </row>
    <row r="4" customFormat="false" ht="24" hidden="false" customHeight="true" outlineLevel="0" collapsed="false">
      <c r="A4" s="17" t="s">
        <v>23</v>
      </c>
      <c r="B4" s="18" t="s">
        <v>24</v>
      </c>
      <c r="C4" s="18" t="s">
        <v>27</v>
      </c>
      <c r="D4" s="18" t="s">
        <v>72</v>
      </c>
      <c r="E4" s="17" t="s">
        <v>73</v>
      </c>
    </row>
    <row r="5" customFormat="false" ht="25.5" hidden="false" customHeight="true" outlineLevel="0" collapsed="false">
      <c r="A5" s="19" t="s">
        <v>34</v>
      </c>
      <c r="B5" s="36" t="n">
        <v>7803072</v>
      </c>
      <c r="C5" s="36" t="n">
        <v>6526236</v>
      </c>
      <c r="D5" s="20" t="n">
        <f aca="false">B5-C5</f>
        <v>1276836</v>
      </c>
      <c r="E5" s="23" t="s">
        <v>74</v>
      </c>
    </row>
    <row r="6" customFormat="false" ht="25.5" hidden="false" customHeight="true" outlineLevel="0" collapsed="false">
      <c r="A6" s="19" t="s">
        <v>36</v>
      </c>
      <c r="B6" s="36" t="n">
        <v>815616</v>
      </c>
      <c r="C6" s="36" t="n">
        <v>455194</v>
      </c>
      <c r="D6" s="20" t="n">
        <f aca="false">B6-C6</f>
        <v>360422</v>
      </c>
      <c r="E6" s="23" t="s">
        <v>75</v>
      </c>
    </row>
    <row r="7" customFormat="false" ht="25.5" hidden="false" customHeight="true" outlineLevel="0" collapsed="false">
      <c r="A7" s="19" t="s">
        <v>38</v>
      </c>
      <c r="B7" s="36" t="n">
        <v>282930</v>
      </c>
      <c r="C7" s="36" t="n">
        <v>174391</v>
      </c>
      <c r="D7" s="20" t="n">
        <f aca="false">B7-C7</f>
        <v>108539</v>
      </c>
      <c r="E7" s="23" t="s">
        <v>75</v>
      </c>
    </row>
    <row r="8" customFormat="false" ht="25.5" hidden="false" customHeight="true" outlineLevel="0" collapsed="false">
      <c r="A8" s="19" t="s">
        <v>40</v>
      </c>
      <c r="B8" s="36" t="n">
        <v>214216</v>
      </c>
      <c r="C8" s="36" t="n">
        <v>92961</v>
      </c>
      <c r="D8" s="20" t="n">
        <f aca="false">B8-C8</f>
        <v>121255</v>
      </c>
      <c r="E8" s="23" t="s">
        <v>76</v>
      </c>
    </row>
    <row r="9" customFormat="false" ht="25.5" hidden="false" customHeight="true" outlineLevel="0" collapsed="false">
      <c r="A9" s="24" t="s">
        <v>42</v>
      </c>
      <c r="B9" s="36" t="n">
        <v>81777</v>
      </c>
      <c r="C9" s="36" t="n">
        <v>17285</v>
      </c>
      <c r="D9" s="20" t="n">
        <f aca="false">B9-C9</f>
        <v>64492</v>
      </c>
      <c r="E9" s="23" t="s">
        <v>77</v>
      </c>
    </row>
    <row r="10" customFormat="false" ht="25.5" hidden="false" customHeight="true" outlineLevel="0" collapsed="false">
      <c r="A10" s="19" t="s">
        <v>44</v>
      </c>
      <c r="B10" s="36" t="n">
        <v>68554</v>
      </c>
      <c r="C10" s="36" t="n">
        <v>9104</v>
      </c>
      <c r="D10" s="20" t="n">
        <f aca="false">B10-C10</f>
        <v>59450</v>
      </c>
      <c r="E10" s="23" t="s">
        <v>77</v>
      </c>
    </row>
    <row r="11" customFormat="false" ht="25.5" hidden="false" customHeight="true" outlineLevel="0" collapsed="false">
      <c r="A11" s="19" t="s">
        <v>46</v>
      </c>
      <c r="B11" s="36" t="n">
        <v>5744</v>
      </c>
      <c r="C11" s="36" t="n">
        <v>2820.28</v>
      </c>
      <c r="D11" s="20" t="n">
        <f aca="false">B11-C11</f>
        <v>2923.72</v>
      </c>
      <c r="E11" s="23" t="s">
        <v>78</v>
      </c>
    </row>
    <row r="12" customFormat="false" ht="25.5" hidden="false" customHeight="true" outlineLevel="0" collapsed="false">
      <c r="A12" s="19" t="s">
        <v>48</v>
      </c>
      <c r="B12" s="36" t="n">
        <v>0</v>
      </c>
      <c r="C12" s="36" t="n">
        <v>8533</v>
      </c>
      <c r="D12" s="20" t="n">
        <f aca="false">B12-C12</f>
        <v>-8533</v>
      </c>
      <c r="E12" s="23" t="s">
        <v>79</v>
      </c>
    </row>
    <row r="13" customFormat="false" ht="25.5" hidden="false" customHeight="true" outlineLevel="0" collapsed="false">
      <c r="A13" s="19" t="s">
        <v>50</v>
      </c>
      <c r="B13" s="36" t="n">
        <v>287510</v>
      </c>
      <c r="C13" s="36" t="n">
        <v>148939</v>
      </c>
      <c r="D13" s="20" t="n">
        <f aca="false">B13-C13</f>
        <v>138571</v>
      </c>
      <c r="E13" s="23" t="s">
        <v>80</v>
      </c>
    </row>
    <row r="14" customFormat="false" ht="30" hidden="false" customHeight="true" outlineLevel="0" collapsed="false">
      <c r="A14" s="26" t="s">
        <v>52</v>
      </c>
      <c r="B14" s="27" t="n">
        <f aca="false">SUM(B5:B13)</f>
        <v>9559419</v>
      </c>
      <c r="C14" s="27" t="n">
        <f aca="false">SUM(C5:C13)</f>
        <v>7435463.28</v>
      </c>
      <c r="D14" s="27" t="n">
        <f aca="false">SUM(D5:D13)</f>
        <v>2123955.72</v>
      </c>
      <c r="E14" s="35"/>
    </row>
  </sheetData>
  <conditionalFormatting sqref="B5:D1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2C4"/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50"/>
  </cols>
  <sheetData>
    <row r="1" customFormat="false" ht="27.75" hidden="false" customHeight="true" outlineLevel="0" collapsed="false">
      <c r="A1" s="15" t="s">
        <v>81</v>
      </c>
      <c r="E1" s="3" t="s">
        <v>82</v>
      </c>
    </row>
    <row r="2" customFormat="false" ht="13.5" hidden="false" customHeight="true" outlineLevel="0" collapsed="false">
      <c r="A2" s="16" t="s">
        <v>83</v>
      </c>
    </row>
    <row r="3" customFormat="false" ht="6" hidden="false" customHeight="true" outlineLevel="0" collapsed="false">
      <c r="A3" s="5"/>
      <c r="B3" s="5"/>
      <c r="C3" s="5"/>
      <c r="D3" s="5"/>
      <c r="E3" s="5"/>
    </row>
    <row r="4" customFormat="false" ht="24" hidden="false" customHeight="true" outlineLevel="0" collapsed="false">
      <c r="A4" s="17" t="s">
        <v>23</v>
      </c>
      <c r="B4" s="18" t="s">
        <v>84</v>
      </c>
      <c r="C4" s="18" t="s">
        <v>85</v>
      </c>
      <c r="D4" s="18" t="s">
        <v>86</v>
      </c>
      <c r="E4" s="17" t="s">
        <v>87</v>
      </c>
    </row>
    <row r="5" customFormat="false" ht="25.5" hidden="false" customHeight="true" outlineLevel="0" collapsed="false">
      <c r="A5" s="24" t="s">
        <v>42</v>
      </c>
      <c r="B5" s="37" t="s">
        <v>88</v>
      </c>
      <c r="C5" s="25" t="s">
        <v>89</v>
      </c>
      <c r="D5" s="36" t="n">
        <v>42000</v>
      </c>
      <c r="E5" s="23" t="s">
        <v>90</v>
      </c>
    </row>
    <row r="6" customFormat="false" ht="25.5" hidden="false" customHeight="true" outlineLevel="0" collapsed="false">
      <c r="A6" s="19" t="s">
        <v>40</v>
      </c>
      <c r="B6" s="37" t="s">
        <v>88</v>
      </c>
      <c r="C6" s="23" t="s">
        <v>91</v>
      </c>
      <c r="D6" s="36" t="n">
        <v>25000</v>
      </c>
      <c r="E6" s="23" t="s">
        <v>92</v>
      </c>
    </row>
    <row r="7" customFormat="false" ht="25.5" hidden="false" customHeight="true" outlineLevel="0" collapsed="false">
      <c r="A7" s="19" t="s">
        <v>44</v>
      </c>
      <c r="B7" s="37" t="s">
        <v>88</v>
      </c>
      <c r="C7" s="23" t="s">
        <v>93</v>
      </c>
      <c r="D7" s="36" t="n">
        <v>30000</v>
      </c>
      <c r="E7" s="23" t="s">
        <v>90</v>
      </c>
    </row>
    <row r="8" customFormat="false" ht="25.5" hidden="false" customHeight="true" outlineLevel="0" collapsed="false">
      <c r="A8" s="24" t="s">
        <v>42</v>
      </c>
      <c r="B8" s="37" t="s">
        <v>30</v>
      </c>
      <c r="C8" s="25" t="s">
        <v>94</v>
      </c>
      <c r="D8" s="36" t="n">
        <v>40000</v>
      </c>
      <c r="E8" s="23" t="s">
        <v>95</v>
      </c>
    </row>
    <row r="9" customFormat="false" ht="25.5" hidden="false" customHeight="true" outlineLevel="0" collapsed="false">
      <c r="A9" s="19" t="s">
        <v>38</v>
      </c>
      <c r="B9" s="37" t="s">
        <v>30</v>
      </c>
      <c r="C9" s="23" t="s">
        <v>96</v>
      </c>
      <c r="D9" s="36" t="n">
        <v>48000</v>
      </c>
      <c r="E9" s="23" t="s">
        <v>97</v>
      </c>
    </row>
    <row r="10" customFormat="false" ht="25.5" hidden="false" customHeight="true" outlineLevel="0" collapsed="false">
      <c r="A10" s="19" t="s">
        <v>36</v>
      </c>
      <c r="B10" s="37" t="s">
        <v>30</v>
      </c>
      <c r="C10" s="23" t="s">
        <v>98</v>
      </c>
      <c r="D10" s="36" t="n">
        <v>90000</v>
      </c>
      <c r="E10" s="23" t="s">
        <v>95</v>
      </c>
    </row>
    <row r="11" customFormat="false" ht="25.5" hidden="false" customHeight="true" outlineLevel="0" collapsed="false">
      <c r="A11" s="19" t="s">
        <v>50</v>
      </c>
      <c r="B11" s="37" t="s">
        <v>25</v>
      </c>
      <c r="C11" s="23" t="s">
        <v>99</v>
      </c>
      <c r="D11" s="36" t="n">
        <v>40000</v>
      </c>
      <c r="E11" s="23" t="s">
        <v>100</v>
      </c>
    </row>
    <row r="12" customFormat="false" ht="25.5" hidden="false" customHeight="true" outlineLevel="0" collapsed="false">
      <c r="A12" s="19" t="s">
        <v>50</v>
      </c>
      <c r="B12" s="37" t="s">
        <v>25</v>
      </c>
      <c r="C12" s="23" t="s">
        <v>101</v>
      </c>
      <c r="D12" s="36" t="n">
        <v>48000</v>
      </c>
      <c r="E12" s="23" t="s">
        <v>102</v>
      </c>
    </row>
    <row r="13" customFormat="false" ht="25.5" hidden="false" customHeight="true" outlineLevel="0" collapsed="false">
      <c r="A13" s="19" t="s">
        <v>50</v>
      </c>
      <c r="B13" s="37" t="s">
        <v>25</v>
      </c>
      <c r="C13" s="23" t="s">
        <v>103</v>
      </c>
      <c r="D13" s="36" t="n">
        <v>90000</v>
      </c>
      <c r="E13" s="23" t="s">
        <v>104</v>
      </c>
    </row>
    <row r="14" customFormat="false" ht="25.5" hidden="false" customHeight="true" outlineLevel="0" collapsed="false">
      <c r="A14" s="19" t="s">
        <v>46</v>
      </c>
      <c r="B14" s="37" t="s">
        <v>25</v>
      </c>
      <c r="C14" s="23" t="s">
        <v>105</v>
      </c>
      <c r="D14" s="36" t="n">
        <v>-4020.8</v>
      </c>
      <c r="E14" s="23" t="s">
        <v>106</v>
      </c>
    </row>
    <row r="15" customFormat="false" ht="25.5" hidden="false" customHeight="true" outlineLevel="0" collapsed="false">
      <c r="A15" s="19" t="s">
        <v>46</v>
      </c>
      <c r="B15" s="37" t="s">
        <v>25</v>
      </c>
      <c r="C15" s="23" t="s">
        <v>107</v>
      </c>
      <c r="D15" s="36" t="n">
        <v>800</v>
      </c>
      <c r="E15" s="25" t="s">
        <v>108</v>
      </c>
    </row>
    <row r="16" customFormat="false" ht="25.5" hidden="false" customHeight="true" outlineLevel="0" collapsed="false">
      <c r="A16" s="19" t="s">
        <v>50</v>
      </c>
      <c r="B16" s="37" t="s">
        <v>25</v>
      </c>
      <c r="C16" s="23" t="s">
        <v>109</v>
      </c>
      <c r="D16" s="36" t="n">
        <v>-800</v>
      </c>
      <c r="E16" s="23" t="s">
        <v>110</v>
      </c>
    </row>
    <row r="17" customFormat="false" ht="25.5" hidden="false" customHeight="true" outlineLevel="0" collapsed="false">
      <c r="A17" s="19" t="s">
        <v>46</v>
      </c>
      <c r="B17" s="37" t="s">
        <v>28</v>
      </c>
      <c r="C17" s="23" t="s">
        <v>111</v>
      </c>
      <c r="D17" s="36" t="n">
        <v>-2820.28</v>
      </c>
      <c r="E17" s="23" t="s">
        <v>112</v>
      </c>
    </row>
    <row r="18" customFormat="false" ht="25.5" hidden="false" customHeight="true" outlineLevel="0" collapsed="false">
      <c r="A18" s="19" t="s">
        <v>50</v>
      </c>
      <c r="B18" s="37" t="s">
        <v>113</v>
      </c>
      <c r="C18" s="25" t="s">
        <v>114</v>
      </c>
      <c r="D18" s="36" t="n">
        <v>421874</v>
      </c>
      <c r="E18" s="23" t="s">
        <v>115</v>
      </c>
    </row>
    <row r="19" customFormat="false" ht="25.5" hidden="false" customHeight="true" outlineLevel="0" collapsed="false">
      <c r="A19" s="19" t="s">
        <v>50</v>
      </c>
      <c r="B19" s="37" t="s">
        <v>113</v>
      </c>
      <c r="C19" s="25" t="s">
        <v>116</v>
      </c>
      <c r="D19" s="36" t="n">
        <v>19500</v>
      </c>
      <c r="E19" s="23" t="s">
        <v>117</v>
      </c>
    </row>
    <row r="20" customFormat="false" ht="25.5" hidden="false" customHeight="true" outlineLevel="0" collapsed="false">
      <c r="A20" s="38" t="s">
        <v>34</v>
      </c>
      <c r="B20" s="39" t="s">
        <v>28</v>
      </c>
      <c r="C20" s="40" t="s">
        <v>118</v>
      </c>
      <c r="D20" s="36" t="n">
        <v>-200000</v>
      </c>
      <c r="E20" s="40" t="s">
        <v>119</v>
      </c>
    </row>
    <row r="21" customFormat="false" ht="25.5" hidden="false" customHeight="true" outlineLevel="0" collapsed="false">
      <c r="A21" s="38" t="s">
        <v>34</v>
      </c>
      <c r="B21" s="39" t="s">
        <v>30</v>
      </c>
      <c r="C21" s="40" t="s">
        <v>120</v>
      </c>
      <c r="D21" s="36" t="n">
        <v>200000</v>
      </c>
      <c r="E21" s="40" t="s">
        <v>121</v>
      </c>
    </row>
    <row r="22" customFormat="false" ht="25.5" hidden="false" customHeight="true" outlineLevel="0" collapsed="false">
      <c r="A22" s="38" t="s">
        <v>50</v>
      </c>
      <c r="B22" s="39" t="s">
        <v>60</v>
      </c>
      <c r="C22" s="40" t="s">
        <v>122</v>
      </c>
      <c r="D22" s="41"/>
      <c r="E22" s="40" t="s">
        <v>123</v>
      </c>
    </row>
  </sheetData>
  <conditionalFormatting sqref="D5:D19">
    <cfRule type="cellIs" priority="2" operator="lessThan" aboveAverage="0" equalAverage="0" bottom="0" percent="0" rank="0" text="" dxfId="0">
      <formula>0</formula>
    </cfRule>
  </conditionalFormatting>
  <conditionalFormatting sqref="D20:D22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2C4"/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13"/>
  </cols>
  <sheetData>
    <row r="1" customFormat="false" ht="27.75" hidden="false" customHeight="true" outlineLevel="0" collapsed="false">
      <c r="A1" s="15" t="s">
        <v>124</v>
      </c>
      <c r="D1" s="3" t="s">
        <v>125</v>
      </c>
    </row>
    <row r="2" customFormat="false" ht="13.5" hidden="false" customHeight="true" outlineLevel="0" collapsed="false">
      <c r="A2" s="16" t="s">
        <v>126</v>
      </c>
    </row>
    <row r="3" customFormat="false" ht="6" hidden="false" customHeight="true" outlineLevel="0" collapsed="false">
      <c r="A3" s="5"/>
      <c r="B3" s="5"/>
      <c r="C3" s="5"/>
      <c r="D3" s="5"/>
    </row>
    <row r="4" customFormat="false" ht="24" hidden="false" customHeight="true" outlineLevel="0" collapsed="false">
      <c r="A4" s="17" t="s">
        <v>127</v>
      </c>
      <c r="B4" s="18" t="s">
        <v>128</v>
      </c>
      <c r="C4" s="18" t="s">
        <v>129</v>
      </c>
      <c r="D4" s="17" t="s">
        <v>86</v>
      </c>
    </row>
    <row r="5" customFormat="false" ht="25.5" hidden="false" customHeight="true" outlineLevel="0" collapsed="false">
      <c r="A5" s="19" t="s">
        <v>113</v>
      </c>
      <c r="B5" s="41" t="s">
        <v>130</v>
      </c>
      <c r="C5" s="37" t="s">
        <v>131</v>
      </c>
      <c r="D5" s="21" t="n">
        <v>63055</v>
      </c>
    </row>
    <row r="6" customFormat="false" ht="25.5" hidden="false" customHeight="true" outlineLevel="0" collapsed="false">
      <c r="A6" s="19" t="s">
        <v>113</v>
      </c>
      <c r="B6" s="41" t="s">
        <v>130</v>
      </c>
      <c r="C6" s="37" t="s">
        <v>132</v>
      </c>
      <c r="D6" s="21" t="n">
        <v>42375</v>
      </c>
    </row>
    <row r="7" customFormat="false" ht="25.5" hidden="false" customHeight="true" outlineLevel="0" collapsed="false">
      <c r="A7" s="19" t="s">
        <v>113</v>
      </c>
      <c r="B7" s="41" t="s">
        <v>130</v>
      </c>
      <c r="C7" s="37" t="s">
        <v>133</v>
      </c>
      <c r="D7" s="21" t="n">
        <v>30762</v>
      </c>
    </row>
    <row r="8" customFormat="false" ht="25.5" hidden="false" customHeight="true" outlineLevel="0" collapsed="false">
      <c r="A8" s="19" t="s">
        <v>113</v>
      </c>
      <c r="B8" s="41" t="s">
        <v>130</v>
      </c>
      <c r="C8" s="37" t="s">
        <v>134</v>
      </c>
      <c r="D8" s="21" t="n">
        <v>62191</v>
      </c>
    </row>
    <row r="9" customFormat="false" ht="25.5" hidden="false" customHeight="true" outlineLevel="0" collapsed="false">
      <c r="A9" s="19" t="s">
        <v>113</v>
      </c>
      <c r="B9" s="41" t="s">
        <v>130</v>
      </c>
      <c r="C9" s="37" t="s">
        <v>135</v>
      </c>
      <c r="D9" s="21" t="n">
        <v>48453</v>
      </c>
    </row>
    <row r="10" customFormat="false" ht="25.5" hidden="false" customHeight="true" outlineLevel="0" collapsed="false">
      <c r="A10" s="19" t="s">
        <v>113</v>
      </c>
      <c r="B10" s="41" t="s">
        <v>130</v>
      </c>
      <c r="C10" s="37" t="s">
        <v>136</v>
      </c>
      <c r="D10" s="21" t="n">
        <v>40440</v>
      </c>
    </row>
    <row r="11" customFormat="false" ht="25.5" hidden="false" customHeight="true" outlineLevel="0" collapsed="false">
      <c r="A11" s="19" t="s">
        <v>113</v>
      </c>
      <c r="B11" s="41" t="s">
        <v>130</v>
      </c>
      <c r="C11" s="37" t="s">
        <v>137</v>
      </c>
      <c r="D11" s="21" t="n">
        <v>40375</v>
      </c>
    </row>
    <row r="12" customFormat="false" ht="25.5" hidden="false" customHeight="true" outlineLevel="0" collapsed="false">
      <c r="A12" s="19" t="s">
        <v>113</v>
      </c>
      <c r="B12" s="41" t="s">
        <v>130</v>
      </c>
      <c r="C12" s="37" t="s">
        <v>138</v>
      </c>
      <c r="D12" s="21" t="n">
        <v>40515</v>
      </c>
    </row>
    <row r="13" customFormat="false" ht="25.5" hidden="false" customHeight="true" outlineLevel="0" collapsed="false">
      <c r="A13" s="19" t="s">
        <v>113</v>
      </c>
      <c r="B13" s="41" t="s">
        <v>130</v>
      </c>
      <c r="C13" s="37" t="s">
        <v>139</v>
      </c>
      <c r="D13" s="21" t="n">
        <v>53708</v>
      </c>
    </row>
    <row r="14" customFormat="false" ht="30" hidden="false" customHeight="true" outlineLevel="0" collapsed="false">
      <c r="A14" s="26" t="s">
        <v>140</v>
      </c>
      <c r="B14" s="35"/>
      <c r="C14" s="35"/>
      <c r="D14" s="28" t="n">
        <f aca="false">SUM(D5:D13)</f>
        <v>421874</v>
      </c>
    </row>
    <row r="15" customFormat="false" ht="25.5" hidden="false" customHeight="true" outlineLevel="0" collapsed="false">
      <c r="A15" s="19" t="s">
        <v>141</v>
      </c>
      <c r="B15" s="41" t="s">
        <v>142</v>
      </c>
      <c r="C15" s="37" t="s">
        <v>136</v>
      </c>
      <c r="D15" s="21" t="n">
        <v>4000</v>
      </c>
    </row>
    <row r="16" customFormat="false" ht="25.5" hidden="false" customHeight="true" outlineLevel="0" collapsed="false">
      <c r="A16" s="19" t="s">
        <v>141</v>
      </c>
      <c r="B16" s="41" t="s">
        <v>142</v>
      </c>
      <c r="C16" s="37" t="s">
        <v>132</v>
      </c>
      <c r="D16" s="21" t="n">
        <v>2000</v>
      </c>
    </row>
    <row r="17" customFormat="false" ht="25.5" hidden="false" customHeight="true" outlineLevel="0" collapsed="false">
      <c r="A17" s="19" t="s">
        <v>141</v>
      </c>
      <c r="B17" s="41" t="s">
        <v>142</v>
      </c>
      <c r="C17" s="37" t="s">
        <v>137</v>
      </c>
      <c r="D17" s="21" t="n">
        <v>6500</v>
      </c>
    </row>
    <row r="18" customFormat="false" ht="25.5" hidden="false" customHeight="true" outlineLevel="0" collapsed="false">
      <c r="A18" s="19" t="s">
        <v>141</v>
      </c>
      <c r="B18" s="41" t="s">
        <v>142</v>
      </c>
      <c r="C18" s="37" t="s">
        <v>133</v>
      </c>
      <c r="D18" s="21" t="n">
        <v>7000</v>
      </c>
    </row>
    <row r="19" customFormat="false" ht="30" hidden="false" customHeight="true" outlineLevel="0" collapsed="false">
      <c r="A19" s="26" t="s">
        <v>143</v>
      </c>
      <c r="B19" s="35"/>
      <c r="C19" s="35"/>
      <c r="D19" s="28" t="n">
        <f aca="false">SUM(D15:D18)</f>
        <v>19500</v>
      </c>
    </row>
    <row r="20" customFormat="false" ht="30" hidden="false" customHeight="true" outlineLevel="0" collapsed="false">
      <c r="A20" s="26" t="s">
        <v>52</v>
      </c>
      <c r="B20" s="35"/>
      <c r="C20" s="35"/>
      <c r="D20" s="28" t="n">
        <f aca="false">D14+D19</f>
        <v>441374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2C4"/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8"/>
  </cols>
  <sheetData>
    <row r="1" customFormat="false" ht="27.75" hidden="false" customHeight="true" outlineLevel="0" collapsed="false">
      <c r="A1" s="15" t="s">
        <v>144</v>
      </c>
      <c r="B1" s="3" t="s">
        <v>145</v>
      </c>
    </row>
    <row r="2" customFormat="false" ht="13.5" hidden="false" customHeight="true" outlineLevel="0" collapsed="false">
      <c r="A2" s="16" t="s">
        <v>146</v>
      </c>
    </row>
    <row r="3" customFormat="false" ht="6" hidden="false" customHeight="true" outlineLevel="0" collapsed="false">
      <c r="A3" s="5"/>
      <c r="B3" s="5"/>
    </row>
    <row r="5" customFormat="false" ht="27.75" hidden="false" customHeight="true" outlineLevel="0" collapsed="false">
      <c r="A5" s="42" t="s">
        <v>147</v>
      </c>
      <c r="B5" s="43" t="s">
        <v>148</v>
      </c>
    </row>
    <row r="6" customFormat="false" ht="27.75" hidden="false" customHeight="true" outlineLevel="0" collapsed="false">
      <c r="A6" s="42" t="s">
        <v>149</v>
      </c>
      <c r="B6" s="43" t="s">
        <v>150</v>
      </c>
    </row>
    <row r="7" customFormat="false" ht="27.75" hidden="false" customHeight="true" outlineLevel="0" collapsed="false">
      <c r="A7" s="42" t="s">
        <v>151</v>
      </c>
      <c r="B7" s="43" t="s">
        <v>152</v>
      </c>
    </row>
    <row r="8" customFormat="false" ht="27.75" hidden="false" customHeight="true" outlineLevel="0" collapsed="false">
      <c r="A8" s="42" t="s">
        <v>153</v>
      </c>
      <c r="B8" s="43" t="s">
        <v>154</v>
      </c>
    </row>
    <row r="9" customFormat="false" ht="27.75" hidden="false" customHeight="true" outlineLevel="0" collapsed="false">
      <c r="A9" s="42" t="s">
        <v>155</v>
      </c>
      <c r="B9" s="43" t="s">
        <v>156</v>
      </c>
    </row>
    <row r="10" customFormat="false" ht="27.75" hidden="false" customHeight="true" outlineLevel="0" collapsed="false">
      <c r="A10" s="42" t="s">
        <v>157</v>
      </c>
      <c r="B10" s="43" t="s">
        <v>158</v>
      </c>
    </row>
    <row r="11" customFormat="false" ht="27.75" hidden="false" customHeight="true" outlineLevel="0" collapsed="false">
      <c r="A11" s="42" t="s">
        <v>159</v>
      </c>
      <c r="B11" s="43" t="s">
        <v>160</v>
      </c>
    </row>
    <row r="12" customFormat="false" ht="27.75" hidden="false" customHeight="true" outlineLevel="0" collapsed="false">
      <c r="A12" s="42" t="s">
        <v>161</v>
      </c>
      <c r="B12" s="44" t="s">
        <v>162</v>
      </c>
    </row>
    <row r="13" customFormat="false" ht="27.75" hidden="false" customHeight="true" outlineLevel="0" collapsed="false">
      <c r="A13" s="42" t="s">
        <v>163</v>
      </c>
      <c r="B13" s="44" t="s">
        <v>164</v>
      </c>
    </row>
    <row r="14" customFormat="false" ht="31.5" hidden="false" customHeight="true" outlineLevel="0" collapsed="false">
      <c r="A14" s="42" t="s">
        <v>165</v>
      </c>
      <c r="B14" s="45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2026-09-18T05:51:55Z</dcterms:created>
  <dc:creator>openpyxl</dc:creator>
  <dc:description/>
  <dc:language>en-US</dc:language>
  <cp:lastModifiedBy/>
  <dcterms:modified xsi:type="dcterms:W3CDTF">2026-09-18T09:30:01Z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