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詢問登記" sheetId="1" state="visible" r:id="rId3"/>
    <sheet name="週彙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<sst xmlns="http://schemas.openxmlformats.org/spreadsheetml/2006/main" count="54" uniqueCount="52">
  <si>
    <t xml:space="preserve">日期</t>
  </si>
  <si>
    <t xml:space="preserve">來源管道</t>
  </si>
  <si>
    <t xml:space="preserve">詢問人(代稱)</t>
  </si>
  <si>
    <t xml:space="preserve">需求房型</t>
  </si>
  <si>
    <t xml:space="preserve">預算(月)</t>
  </si>
  <si>
    <t xml:space="preserve">租期(月)</t>
  </si>
  <si>
    <t xml:space="preserve">有無看房</t>
  </si>
  <si>
    <t xml:space="preserve">結果</t>
  </si>
  <si>
    <t xml:space="preserve">訂房原因</t>
  </si>
  <si>
    <t xml:space="preserve">未訂原因分類</t>
  </si>
  <si>
    <t xml:space="preserve">未訂原因細節(質化,一句話)</t>
  </si>
  <si>
    <t xml:space="preserve">跟進動作</t>
  </si>
  <si>
    <t xml:space="preserve">負責人</t>
  </si>
  <si>
    <t xml:space="preserve">2026/8/25</t>
  </si>
  <si>
    <t xml:space="preserve">591</t>
  </si>
  <si>
    <t xml:space="preserve">王先生</t>
  </si>
  <si>
    <r>
      <rPr>
        <sz val="10"/>
        <color rgb="FF4A443B"/>
        <rFont val="Arial"/>
        <family val="0"/>
        <charset val="1"/>
      </rPr>
      <t xml:space="preserve">2</t>
    </r>
    <r>
      <rPr>
        <sz val="10"/>
        <color rgb="FF4A443B"/>
        <rFont val="Noto Sans CJK SC"/>
        <family val="2"/>
      </rPr>
      <t xml:space="preserve">房</t>
    </r>
  </si>
  <si>
    <t xml:space="preserve">38,000</t>
  </si>
  <si>
    <t xml:space="preserve">12</t>
  </si>
  <si>
    <t xml:space="preserve">有</t>
  </si>
  <si>
    <t xml:space="preserve">未訂</t>
  </si>
  <si>
    <t xml:space="preserve">價格</t>
  </si>
  <si>
    <t xml:space="preserve">「比隔壁棟開價高 3 千,再想想」</t>
  </si>
  <si>
    <t xml:space="preserve">已加 LINE,週四回報價</t>
  </si>
  <si>
    <t xml:space="preserve">Jessica</t>
  </si>
  <si>
    <t xml:space="preserve">▲ 第 2 列為範例格式(不列入統計);真實資料請從第 4 列開始填寫,每一筆詢問都要登記(含平台私訊與電話)</t>
  </si>
  <si>
    <t xml:space="preserve">正隆月租 · 詢問週報彙總</t>
  </si>
  <si>
    <t xml:space="preserve">每週一由 Jessica 更新並匯報;黃底格子為手動填寫,其餘自動計算</t>
  </si>
  <si>
    <t xml:space="preserve">本週優先目標:18F B5(優先出租)</t>
  </si>
  <si>
    <t xml:space="preserve">目前狀態(刊登位置/報價)</t>
  </si>
  <si>
    <t xml:space="preserve">本週為它做了什麼</t>
  </si>
  <si>
    <t xml:space="preserve">卡住的障礙/需要的支援</t>
  </si>
  <si>
    <t xml:space="preserve">量化 · 本表自動統計「詢問登記」全表</t>
  </si>
  <si>
    <t xml:space="preserve">質化 · 每週三句(手填)</t>
  </si>
  <si>
    <t xml:space="preserve">總詢問數</t>
  </si>
  <si>
    <t xml:space="preserve">本週最常聽到的一句話</t>
  </si>
  <si>
    <t xml:space="preserve">已訂</t>
  </si>
  <si>
    <t xml:space="preserve">一個新發現</t>
  </si>
  <si>
    <t xml:space="preserve">考慮中</t>
  </si>
  <si>
    <t xml:space="preserve">成交率</t>
  </si>
  <si>
    <t xml:space="preserve">下週要修的一件事</t>
  </si>
  <si>
    <t xml:space="preserve">有看房數</t>
  </si>
  <si>
    <t xml:space="preserve">未訂原因排行(對症下藥的依據)</t>
  </si>
  <si>
    <t xml:space="preserve">原因分類</t>
  </si>
  <si>
    <t xml:space="preserve">次數</t>
  </si>
  <si>
    <t xml:space="preserve">坪數格局</t>
  </si>
  <si>
    <t xml:space="preserve">樓層採光</t>
  </si>
  <si>
    <t xml:space="preserve">家具設備</t>
  </si>
  <si>
    <t xml:space="preserve">租期不合</t>
  </si>
  <si>
    <t xml:space="preserve">位置環境</t>
  </si>
  <si>
    <t xml:space="preserve">服務條件</t>
  </si>
  <si>
    <t xml:space="preserve">其他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</si>
</sst>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  <charset val="1"/>
    </font>
    <font>
      <sz val="10"/>
      <color rgb="FF4A443B"/>
      <name val="Arial"/>
      <family val="0"/>
      <charset val="1"/>
    </font>
    <font>
      <sz val="10"/>
      <color rgb="FF4A443B"/>
      <name val="Noto Sans CJK SC"/>
      <family val="2"/>
      <charset val="1"/>
    </font>
    <font>
      <sz val="10"/>
      <color rgb="FF4A443B"/>
      <name val="Noto Sans CJK SC"/>
      <family val="2"/>
    </font>
    <font>
      <i val="true"/>
      <sz val="9"/>
      <color rgb="FF8B6F47"/>
      <name val="Noto Sans CJK SC"/>
      <family val="2"/>
      <charset val="1"/>
    </font>
    <font>
      <b val="true"/>
      <sz val="14"/>
      <color rgb="FF221D17"/>
      <name val="Noto Sans CJK SC"/>
      <family val="2"/>
      <charset val="1"/>
    </font>
    <font>
      <sz val="9"/>
      <color rgb="FF8B6F47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0"/>
      <color rgb="FF4A443B"/>
      <name val="Noto Sans CJK SC"/>
      <family val="2"/>
      <charset val="1"/>
    </font>
    <font>
      <b val="true"/>
      <sz val="11"/>
      <color rgb="FF221D17"/>
      <name val="Noto Sans CJK SC"/>
      <family val="2"/>
      <charset val="1"/>
    </font>
    <font>
      <b val="true"/>
      <sz val="10"/>
      <color rgb="FF221D17"/>
      <name val="Arial"/>
      <family val="0"/>
      <charset val="1"/>
    </font>
    <font>
      <b val="true"/>
      <sz val="10"/>
      <name val="Noto Sans CJK SC"/>
      <family val="2"/>
      <charset val="1"/>
    </font>
    <font>
      <sz val="10"/>
      <color rgb="FF221D1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B6F47"/>
        <bgColor rgb="FF808000"/>
      </patternFill>
    </fill>
    <fill>
      <patternFill patternType="solid">
        <fgColor rgb="FFFBF9F3"/>
        <bgColor rgb="FFFFFFFF"/>
      </patternFill>
    </fill>
    <fill>
      <patternFill patternType="solid">
        <fgColor rgb="FF221D17"/>
        <bgColor rgb="FF003300"/>
      </patternFill>
    </fill>
    <fill>
      <patternFill patternType="solid">
        <fgColor rgb="FFFFF2CC"/>
        <bgColor rgb="FFFBF9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  <border diagonalUp="false" diagonalDown="false">
      <left style="thin">
        <color rgb="FFD8D2C4"/>
      </left>
      <right/>
      <top style="thin">
        <color rgb="FFD8D2C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C4"/>
      <rgbColor rgb="FF8B6F47"/>
      <rgbColor rgb="FF9999FF"/>
      <rgbColor rgb="FF993366"/>
      <rgbColor rgb="FFFFF2CC"/>
      <rgbColor rgb="FFFBF9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1D17"/>
      <rgbColor rgb="FF993300"/>
      <rgbColor rgb="FF993366"/>
      <rgbColor rgb="FF333399"/>
      <rgbColor rgb="FF4A4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7" min="6" style="1" width="9"/>
    <col collapsed="false" customWidth="true" hidden="false" outlineLevel="0" max="8" min="8" style="1" width="10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34"/>
    <col collapsed="false" customWidth="true" hidden="false" outlineLevel="0" max="12" min="12" style="1" width="16"/>
    <col collapsed="false" customWidth="true" hidden="false" outlineLevel="0" max="13" min="13" style="1" width="9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s">
        <v>13</v>
      </c>
      <c r="B2" s="3" t="s">
        <v>14</v>
      </c>
      <c r="C2" s="4" t="s">
        <v>15</v>
      </c>
      <c r="D2" s="3" t="s">
        <v>16</v>
      </c>
      <c r="E2" s="3" t="s">
        <v>17</v>
      </c>
      <c r="F2" s="3" t="s">
        <v>18</v>
      </c>
      <c r="G2" s="4" t="s">
        <v>19</v>
      </c>
      <c r="H2" s="4" t="s">
        <v>20</v>
      </c>
      <c r="I2" s="3"/>
      <c r="J2" s="4" t="s">
        <v>21</v>
      </c>
      <c r="K2" s="4" t="s">
        <v>22</v>
      </c>
      <c r="L2" s="4" t="s">
        <v>23</v>
      </c>
      <c r="M2" s="3" t="s">
        <v>24</v>
      </c>
    </row>
    <row r="3" customFormat="false" ht="15" hidden="false" customHeight="true" outlineLevel="0" collapsed="false">
      <c r="A3" s="5" t="s">
        <v>25</v>
      </c>
    </row>
  </sheetData>
  <dataValidations count="4">
    <dataValidation allowBlank="true" errorStyle="stop" operator="between" showDropDown="false" showErrorMessage="false" showInputMessage="false" sqref="B2:B300" type="list">
      <formula1>"591,Airbnb,Booking,官網,仲介,介紹,電話,其他"</formula1>
      <formula2>0</formula2>
    </dataValidation>
    <dataValidation allowBlank="true" errorStyle="stop" operator="between" showDropDown="false" showErrorMessage="false" showInputMessage="false" sqref="H2:H300" type="list">
      <formula1>"已訂,未訂,考慮中"</formula1>
      <formula2>0</formula2>
    </dataValidation>
    <dataValidation allowBlank="true" errorStyle="stop" operator="between" showDropDown="false" showErrorMessage="false" showInputMessage="false" sqref="J2:J300" type="list">
      <formula1>"價格,坪數格局,樓層採光,家具設備,租期不合,位置環境,服務條件,其他"</formula1>
      <formula2>0</formula2>
    </dataValidation>
    <dataValidation allowBlank="true" errorStyle="stop" operator="between" showDropDown="false" showErrorMessage="false" showInputMessage="false" sqref="G2:G300" type="list">
      <formula1>"有,無"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4"/>
  </cols>
  <sheetData>
    <row r="1" customFormat="false" ht="21" hidden="false" customHeight="true" outlineLevel="0" collapsed="false">
      <c r="A1" s="6" t="s">
        <v>26</v>
      </c>
    </row>
    <row r="2" customFormat="false" ht="15" hidden="false" customHeight="true" outlineLevel="0" collapsed="false">
      <c r="A2" s="7" t="s">
        <v>27</v>
      </c>
    </row>
    <row r="4" customFormat="false" ht="16.5" hidden="false" customHeight="true" outlineLevel="0" collapsed="false">
      <c r="A4" s="8" t="s">
        <v>28</v>
      </c>
    </row>
    <row r="5" customFormat="false" ht="15" hidden="false" customHeight="true" outlineLevel="0" collapsed="false">
      <c r="A5" s="9" t="s">
        <v>29</v>
      </c>
      <c r="B5" s="10"/>
      <c r="C5" s="10"/>
      <c r="D5" s="10"/>
      <c r="E5" s="10"/>
      <c r="F5" s="10"/>
      <c r="G5" s="10"/>
    </row>
    <row r="6" customFormat="false" ht="15" hidden="false" customHeight="true" outlineLevel="0" collapsed="false">
      <c r="A6" s="9" t="s">
        <v>30</v>
      </c>
      <c r="B6" s="10"/>
      <c r="C6" s="10"/>
      <c r="D6" s="10"/>
      <c r="E6" s="10"/>
      <c r="F6" s="10"/>
      <c r="G6" s="10"/>
    </row>
    <row r="7" customFormat="false" ht="15" hidden="false" customHeight="true" outlineLevel="0" collapsed="false">
      <c r="A7" s="9" t="s">
        <v>31</v>
      </c>
      <c r="B7" s="10"/>
      <c r="C7" s="10"/>
      <c r="D7" s="10"/>
      <c r="E7" s="10"/>
      <c r="F7" s="10"/>
      <c r="G7" s="10"/>
    </row>
    <row r="9" customFormat="false" ht="16.5" hidden="false" customHeight="true" outlineLevel="0" collapsed="false">
      <c r="A9" s="11" t="s">
        <v>32</v>
      </c>
      <c r="D9" s="11" t="s">
        <v>33</v>
      </c>
    </row>
    <row r="10" customFormat="false" ht="15" hidden="false" customHeight="true" outlineLevel="0" collapsed="false">
      <c r="A10" s="12" t="s">
        <v>34</v>
      </c>
      <c r="B10" s="13" t="n">
        <f aca="false">COUNTA(詢問登記!A4:A300)</f>
        <v>0</v>
      </c>
      <c r="D10" s="9" t="s">
        <v>35</v>
      </c>
      <c r="E10" s="14"/>
      <c r="F10" s="14"/>
      <c r="G10" s="14"/>
    </row>
    <row r="11" customFormat="false" ht="15" hidden="false" customHeight="true" outlineLevel="0" collapsed="false">
      <c r="A11" s="12" t="s">
        <v>36</v>
      </c>
      <c r="B11" s="13" t="n">
        <f aca="false">COUNTIF(詢問登記!H4:H300,"已訂")</f>
        <v>0</v>
      </c>
      <c r="E11" s="14"/>
      <c r="F11" s="14"/>
      <c r="G11" s="14"/>
    </row>
    <row r="12" customFormat="false" ht="15" hidden="false" customHeight="true" outlineLevel="0" collapsed="false">
      <c r="A12" s="12" t="s">
        <v>20</v>
      </c>
      <c r="B12" s="13" t="n">
        <f aca="false">COUNTIF(詢問登記!H4:H300,"未訂")</f>
        <v>0</v>
      </c>
      <c r="D12" s="9" t="s">
        <v>37</v>
      </c>
      <c r="E12" s="14"/>
      <c r="F12" s="14"/>
      <c r="G12" s="14"/>
    </row>
    <row r="13" customFormat="false" ht="15" hidden="false" customHeight="true" outlineLevel="0" collapsed="false">
      <c r="A13" s="12" t="s">
        <v>38</v>
      </c>
      <c r="B13" s="13" t="n">
        <f aca="false">COUNTIF(詢問登記!H4:H300,"考慮中")</f>
        <v>0</v>
      </c>
      <c r="E13" s="14"/>
      <c r="F13" s="14"/>
      <c r="G13" s="14"/>
    </row>
    <row r="14" customFormat="false" ht="15" hidden="false" customHeight="true" outlineLevel="0" collapsed="false">
      <c r="A14" s="12" t="s">
        <v>39</v>
      </c>
      <c r="B14" s="15" t="n">
        <f aca="false">IF(B10=0,0,B11/B10)</f>
        <v>0</v>
      </c>
      <c r="D14" s="9" t="s">
        <v>40</v>
      </c>
      <c r="E14" s="14"/>
      <c r="F14" s="14"/>
      <c r="G14" s="14"/>
    </row>
    <row r="15" customFormat="false" ht="15" hidden="false" customHeight="true" outlineLevel="0" collapsed="false">
      <c r="A15" s="12" t="s">
        <v>41</v>
      </c>
      <c r="B15" s="13" t="n">
        <f aca="false">COUNTIF(詢問登記!G4:G300,"有")</f>
        <v>0</v>
      </c>
      <c r="E15" s="14"/>
      <c r="F15" s="14"/>
      <c r="G15" s="14"/>
    </row>
    <row r="17" customFormat="false" ht="16.5" hidden="false" customHeight="true" outlineLevel="0" collapsed="false">
      <c r="A17" s="11" t="s">
        <v>42</v>
      </c>
    </row>
    <row r="18" customFormat="false" ht="15" hidden="false" customHeight="true" outlineLevel="0" collapsed="false">
      <c r="A18" s="16" t="s">
        <v>43</v>
      </c>
      <c r="B18" s="16" t="s">
        <v>44</v>
      </c>
    </row>
    <row r="19" customFormat="false" ht="15" hidden="false" customHeight="true" outlineLevel="0" collapsed="false">
      <c r="A19" s="12" t="s">
        <v>21</v>
      </c>
      <c r="B19" s="17" t="n">
        <f aca="false">COUNTIF(詢問登記!J4:J300,"價格")</f>
        <v>0</v>
      </c>
    </row>
    <row r="20" customFormat="false" ht="15" hidden="false" customHeight="true" outlineLevel="0" collapsed="false">
      <c r="A20" s="12" t="s">
        <v>45</v>
      </c>
      <c r="B20" s="17" t="n">
        <f aca="false">COUNTIF(詢問登記!J4:J300,"坪數格局")</f>
        <v>0</v>
      </c>
    </row>
    <row r="21" customFormat="false" ht="15" hidden="false" customHeight="true" outlineLevel="0" collapsed="false">
      <c r="A21" s="12" t="s">
        <v>46</v>
      </c>
      <c r="B21" s="17" t="n">
        <f aca="false">COUNTIF(詢問登記!J4:J300,"樓層採光")</f>
        <v>0</v>
      </c>
    </row>
    <row r="22" customFormat="false" ht="15" hidden="false" customHeight="true" outlineLevel="0" collapsed="false">
      <c r="A22" s="12" t="s">
        <v>47</v>
      </c>
      <c r="B22" s="17" t="n">
        <f aca="false">COUNTIF(詢問登記!J4:J300,"家具設備")</f>
        <v>0</v>
      </c>
    </row>
    <row r="23" customFormat="false" ht="15" hidden="false" customHeight="true" outlineLevel="0" collapsed="false">
      <c r="A23" s="12" t="s">
        <v>48</v>
      </c>
      <c r="B23" s="17" t="n">
        <f aca="false">COUNTIF(詢問登記!J4:J300,"租期不合")</f>
        <v>0</v>
      </c>
    </row>
    <row r="24" customFormat="false" ht="15" hidden="false" customHeight="true" outlineLevel="0" collapsed="false">
      <c r="A24" s="12" t="s">
        <v>49</v>
      </c>
      <c r="B24" s="17" t="n">
        <f aca="false">COUNTIF(詢問登記!J4:J300,"位置環境")</f>
        <v>0</v>
      </c>
    </row>
    <row r="25" customFormat="false" ht="15" hidden="false" customHeight="true" outlineLevel="0" collapsed="false">
      <c r="A25" s="12" t="s">
        <v>50</v>
      </c>
      <c r="B25" s="17" t="n">
        <f aca="false">COUNTIF(詢問登記!J4:J300,"服務條件")</f>
        <v>0</v>
      </c>
    </row>
    <row r="26" customFormat="false" ht="15" hidden="false" customHeight="true" outlineLevel="0" collapsed="false">
      <c r="A26" s="12" t="s">
        <v>51</v>
      </c>
      <c r="B26" s="17" t="n">
        <f aca="false">COUNTIF(詢問登記!J4:J300,"其他")</f>
        <v>0</v>
      </c>
    </row>
  </sheetData>
  <mergeCells count="6">
    <mergeCell ref="B5:G5"/>
    <mergeCell ref="B6:G6"/>
    <mergeCell ref="B7:G7"/>
    <mergeCell ref="E10:G11"/>
    <mergeCell ref="E12:G13"/>
    <mergeCell ref="E14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2026-08-28T05:08:40Z</dcterms:created>
  <dc:creator>openpyxl</dc:creator>
  <dc:description/>
  <dc:language>en-US</dc:language>
  <cp:lastModifiedBy/>
  <dcterms:modified xsi:type="dcterms:W3CDTF">2026-08-28T05:09:01Z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