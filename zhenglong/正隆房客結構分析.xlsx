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名單分類" sheetId="1" state="visible" r:id="rId3"/>
    <sheet name="分析總表" sheetId="2" state="visible" r:id="rId4"/>
  </sheets>
  <definedNames>
    <definedName function="false" hidden="true" localSheetId="0" name="_xlnm._FilterDatabase" vbProcedure="false">名單分類!$A$1:$H$63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<sst xmlns="http://schemas.openxmlformats.org/spreadsheetml/2006/main" count="427" uniqueCount="238">
  <si>
    <t xml:space="preserve">房號</t>
  </si>
  <si>
    <t xml:space="preserve">公司名稱</t>
  </si>
  <si>
    <t xml:space="preserve">姓名</t>
  </si>
  <si>
    <t xml:space="preserve">年紀</t>
  </si>
  <si>
    <t xml:space="preserve">行業</t>
  </si>
  <si>
    <t xml:space="preserve">客群分類</t>
  </si>
  <si>
    <t xml:space="preserve">建議動作</t>
  </si>
  <si>
    <t xml:space="preserve">優先順序</t>
  </si>
  <si>
    <t xml:space="preserve">3A1</t>
  </si>
  <si>
    <t xml:space="preserve">大器聯合室內裝潢設計</t>
  </si>
  <si>
    <t xml:space="preserve">黃裕傑</t>
  </si>
  <si>
    <t xml:space="preserve">室內裝潢</t>
  </si>
  <si>
    <t xml:space="preserve">企業承租（有公司）</t>
  </si>
  <si>
    <r>
      <rPr>
        <sz val="10"/>
        <rFont val="Noto Sans CJK SC"/>
        <family val="2"/>
      </rPr>
      <t xml:space="preserve">推 </t>
    </r>
    <r>
      <rPr>
        <sz val="10"/>
        <rFont val="微軟正黑體"/>
        <family val="0"/>
        <charset val="1"/>
      </rPr>
      <t xml:space="preserve">3–6 </t>
    </r>
    <r>
      <rPr>
        <sz val="10"/>
        <rFont val="Noto Sans CJK SC"/>
        <family val="2"/>
      </rPr>
      <t xml:space="preserve">個月企業方案＋統編發票，接觸公司 </t>
    </r>
    <r>
      <rPr>
        <sz val="10"/>
        <rFont val="微軟正黑體"/>
        <family val="0"/>
        <charset val="1"/>
      </rPr>
      <t xml:space="preserve">HR/</t>
    </r>
    <r>
      <rPr>
        <sz val="10"/>
        <rFont val="Noto Sans CJK SC"/>
        <family val="2"/>
      </rPr>
      <t xml:space="preserve">行政</t>
    </r>
  </si>
  <si>
    <t xml:space="preserve">高</t>
  </si>
  <si>
    <t xml:space="preserve">3A2</t>
  </si>
  <si>
    <t xml:space="preserve">周君霖</t>
  </si>
  <si>
    <t xml:space="preserve">電商</t>
  </si>
  <si>
    <t xml:space="preserve">一般個人</t>
  </si>
  <si>
    <t xml:space="preserve">納入推薦計畫，統一發送推薦邀請</t>
  </si>
  <si>
    <t xml:space="preserve">中</t>
  </si>
  <si>
    <t xml:space="preserve">3A3</t>
  </si>
  <si>
    <t xml:space="preserve">曾信閎</t>
  </si>
  <si>
    <t xml:space="preserve">經紀公司</t>
  </si>
  <si>
    <t xml:space="preserve">3A5</t>
  </si>
  <si>
    <t xml:space="preserve">蔡瑩禎</t>
  </si>
  <si>
    <t xml:space="preserve"> 學生</t>
  </si>
  <si>
    <r>
      <rPr>
        <sz val="10"/>
        <rFont val="Noto Sans CJK SC"/>
        <family val="2"/>
      </rPr>
      <t xml:space="preserve">學生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年輕</t>
    </r>
  </si>
  <si>
    <t xml:space="preserve">維持即可，非推薦重點</t>
  </si>
  <si>
    <t xml:space="preserve">低</t>
  </si>
  <si>
    <t xml:space="preserve">7A2</t>
  </si>
  <si>
    <t xml:space="preserve">凱雷投資</t>
  </si>
  <si>
    <t xml:space="preserve">林上程</t>
  </si>
  <si>
    <t xml:space="preserve">私人金融</t>
  </si>
  <si>
    <t xml:space="preserve">7A3</t>
  </si>
  <si>
    <t xml:space="preserve">薛凱封</t>
  </si>
  <si>
    <t xml:space="preserve">往來馬來西亞做進出口生意</t>
  </si>
  <si>
    <t xml:space="preserve">多戶承租者</t>
  </si>
  <si>
    <t xml:space="preserve">最高信任層：優先談年租轉換＋推薦獎勵</t>
  </si>
  <si>
    <t xml:space="preserve">最高</t>
  </si>
  <si>
    <t xml:space="preserve">7A4</t>
  </si>
  <si>
    <t xml:space="preserve">日美資訊股份有限公司</t>
  </si>
  <si>
    <t xml:space="preserve">丁裕家</t>
  </si>
  <si>
    <t xml:space="preserve">資訊軟體服務業</t>
  </si>
  <si>
    <t xml:space="preserve">8A2</t>
  </si>
  <si>
    <t xml:space="preserve">周雅婷</t>
  </si>
  <si>
    <t xml:space="preserve">租給爸爸住，個人長期在大陸經商</t>
  </si>
  <si>
    <t xml:space="preserve">8A3</t>
  </si>
  <si>
    <t xml:space="preserve">8A5</t>
  </si>
  <si>
    <t xml:space="preserve">鄭麗玉</t>
  </si>
  <si>
    <t xml:space="preserve">退休夫妻</t>
  </si>
  <si>
    <t xml:space="preserve">退休族</t>
  </si>
  <si>
    <t xml:space="preserve">年租轉換首選：穩定、低流動</t>
  </si>
  <si>
    <t xml:space="preserve">中高</t>
  </si>
  <si>
    <t xml:space="preserve">9A2</t>
  </si>
  <si>
    <t xml:space="preserve">林志霖</t>
  </si>
  <si>
    <t xml:space="preserve">9A3</t>
  </si>
  <si>
    <t xml:space="preserve">蔡佳達</t>
  </si>
  <si>
    <t xml:space="preserve">不動產買賣</t>
  </si>
  <si>
    <r>
      <rPr>
        <sz val="10"/>
        <rFont val="Noto Sans CJK SC"/>
        <family val="2"/>
      </rPr>
      <t xml:space="preserve">投資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金融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不動產</t>
    </r>
  </si>
  <si>
    <t xml:space="preserve">同業圈層推薦：此族群人脈密度最高</t>
  </si>
  <si>
    <t xml:space="preserve">10A2</t>
  </si>
  <si>
    <t xml:space="preserve">呂威志</t>
  </si>
  <si>
    <t xml:space="preserve">科技公司</t>
  </si>
  <si>
    <t xml:space="preserve">10A3</t>
  </si>
  <si>
    <r>
      <rPr>
        <sz val="10"/>
        <rFont val="Noto Sans CJK SC"/>
        <family val="2"/>
      </rPr>
      <t xml:space="preserve">嘉展網路行銷有限公司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蔡昌志</t>
    </r>
  </si>
  <si>
    <t xml:space="preserve">蔡昌志</t>
  </si>
  <si>
    <t xml:space="preserve">10A5</t>
  </si>
  <si>
    <t xml:space="preserve">京饌企業有限公司</t>
  </si>
  <si>
    <t xml:space="preserve">ETALIN</t>
  </si>
  <si>
    <t xml:space="preserve">餐廳</t>
  </si>
  <si>
    <t xml:space="preserve">11A2</t>
  </si>
  <si>
    <t xml:space="preserve">耶辰有限公司</t>
  </si>
  <si>
    <t xml:space="preserve">JENNIFER</t>
  </si>
  <si>
    <t xml:space="preserve"> 藝術品諮詢顧問</t>
  </si>
  <si>
    <t xml:space="preserve">11A3</t>
  </si>
  <si>
    <t xml:space="preserve">水精靈廣告有限公司</t>
  </si>
  <si>
    <t xml:space="preserve">莊斯棋</t>
  </si>
  <si>
    <t xml:space="preserve">12A3</t>
  </si>
  <si>
    <t xml:space="preserve">13A2</t>
  </si>
  <si>
    <t xml:space="preserve">The Slovak Economic and Cultural Office in Taipei</t>
  </si>
  <si>
    <t xml:space="preserve">斯洛伐克大使</t>
  </si>
  <si>
    <r>
      <rPr>
        <sz val="10"/>
        <rFont val="Noto Sans CJK SC"/>
        <family val="2"/>
      </rPr>
      <t xml:space="preserve">跨國企業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外交</t>
    </r>
  </si>
  <si>
    <r>
      <rPr>
        <sz val="10"/>
        <rFont val="Noto Sans CJK SC"/>
        <family val="2"/>
      </rPr>
      <t xml:space="preserve">深耕：請對方引薦同業（外交圈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外商 </t>
    </r>
    <r>
      <rPr>
        <sz val="10"/>
        <rFont val="微軟正黑體"/>
        <family val="0"/>
        <charset val="1"/>
      </rPr>
      <t xml:space="preserve">HR</t>
    </r>
    <r>
      <rPr>
        <sz val="10"/>
        <rFont val="Noto Sans CJK SC"/>
        <family val="2"/>
      </rPr>
      <t xml:space="preserve">、</t>
    </r>
    <r>
      <rPr>
        <sz val="10"/>
        <rFont val="微軟正黑體"/>
        <family val="0"/>
        <charset val="1"/>
      </rPr>
      <t xml:space="preserve">relocation </t>
    </r>
    <r>
      <rPr>
        <sz val="10"/>
        <rFont val="Noto Sans CJK SC"/>
        <family val="2"/>
      </rPr>
      <t xml:space="preserve">公司）</t>
    </r>
  </si>
  <si>
    <t xml:space="preserve">13A3</t>
  </si>
  <si>
    <t xml:space="preserve">陳幼穎</t>
  </si>
  <si>
    <t xml:space="preserve">14A2</t>
  </si>
  <si>
    <t xml:space="preserve">精誠資訊雲事業</t>
  </si>
  <si>
    <t xml:space="preserve">林承軒</t>
  </si>
  <si>
    <t xml:space="preserve">雲服務</t>
  </si>
  <si>
    <t xml:space="preserve">14A5</t>
  </si>
  <si>
    <t xml:space="preserve">張宏輝</t>
  </si>
  <si>
    <t xml:space="preserve">日文作家</t>
  </si>
  <si>
    <t xml:space="preserve">2B10</t>
  </si>
  <si>
    <r>
      <rPr>
        <sz val="10"/>
        <rFont val="Noto Sans CJK SC"/>
        <family val="2"/>
      </rPr>
      <t xml:space="preserve">空置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待確認</t>
    </r>
  </si>
  <si>
    <r>
      <rPr>
        <sz val="10"/>
        <rFont val="Noto Sans CJK SC"/>
        <family val="2"/>
      </rPr>
      <t xml:space="preserve">立即上架多渠道（</t>
    </r>
    <r>
      <rPr>
        <sz val="10"/>
        <rFont val="微軟正黑體"/>
        <family val="0"/>
        <charset val="1"/>
      </rPr>
      <t xml:space="preserve">Airbnb </t>
    </r>
    <r>
      <rPr>
        <sz val="10"/>
        <rFont val="Noto Sans CJK SC"/>
        <family val="2"/>
      </rPr>
      <t xml:space="preserve">以外優先）</t>
    </r>
  </si>
  <si>
    <t xml:space="preserve">3B1</t>
  </si>
  <si>
    <t xml:space="preserve">李佳</t>
  </si>
  <si>
    <t xml:space="preserve">醫生</t>
  </si>
  <si>
    <t xml:space="preserve">3B2</t>
  </si>
  <si>
    <t xml:space="preserve">卓宛誼</t>
  </si>
  <si>
    <r>
      <rPr>
        <sz val="10"/>
        <rFont val="Noto Sans CJK SC"/>
        <family val="2"/>
      </rPr>
      <t xml:space="preserve">家庭主婦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老公是上市公司主管</t>
    </r>
  </si>
  <si>
    <t xml:space="preserve">3B3</t>
  </si>
  <si>
    <t xml:space="preserve">National Standard Capital</t>
  </si>
  <si>
    <t xml:space="preserve">李景山</t>
  </si>
  <si>
    <t xml:space="preserve">投資公司</t>
  </si>
  <si>
    <t xml:space="preserve">3B5</t>
  </si>
  <si>
    <t xml:space="preserve">外商</t>
  </si>
  <si>
    <t xml:space="preserve">廖久文</t>
  </si>
  <si>
    <t xml:space="preserve">日商主管</t>
  </si>
  <si>
    <t xml:space="preserve">5B1</t>
  </si>
  <si>
    <t xml:space="preserve">江芃萱</t>
  </si>
  <si>
    <t xml:space="preserve">醫美</t>
  </si>
  <si>
    <t xml:space="preserve">5B2</t>
  </si>
  <si>
    <t xml:space="preserve">林賜恩</t>
  </si>
  <si>
    <t xml:space="preserve">老師</t>
  </si>
  <si>
    <t xml:space="preserve">5B3</t>
  </si>
  <si>
    <r>
      <rPr>
        <sz val="10"/>
        <rFont val="Noto Sans CJK SC"/>
        <family val="2"/>
      </rPr>
      <t xml:space="preserve">克拉克國際有限公司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鄭智庸</t>
    </r>
  </si>
  <si>
    <t xml:space="preserve">鄭智庸</t>
  </si>
  <si>
    <t xml:space="preserve">自己操盤投資</t>
  </si>
  <si>
    <t xml:space="preserve">5B5</t>
  </si>
  <si>
    <t xml:space="preserve">友清顧問股份有限公司</t>
  </si>
  <si>
    <t xml:space="preserve">LINLUN</t>
  </si>
  <si>
    <t xml:space="preserve">投資顧問業</t>
  </si>
  <si>
    <t xml:space="preserve">6B1</t>
  </si>
  <si>
    <r>
      <rPr>
        <sz val="10"/>
        <rFont val="Noto Sans CJK SC"/>
        <family val="2"/>
      </rPr>
      <t xml:space="preserve">金春發牛肉店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陳敬文</t>
    </r>
  </si>
  <si>
    <t xml:space="preserve">陳敬文</t>
  </si>
  <si>
    <t xml:space="preserve">賣牛肉</t>
  </si>
  <si>
    <t xml:space="preserve">6B2</t>
  </si>
  <si>
    <r>
      <rPr>
        <sz val="10"/>
        <rFont val="Noto Sans CJK SC"/>
        <family val="2"/>
      </rPr>
      <t xml:space="preserve">青宇文化有限公司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藍鈞達</t>
    </r>
  </si>
  <si>
    <t xml:space="preserve">藍鈞達</t>
  </si>
  <si>
    <r>
      <rPr>
        <sz val="10"/>
        <rFont val="Noto Sans CJK SC"/>
        <family val="2"/>
      </rPr>
      <t xml:space="preserve">廣告服務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供設備及場地供電影片拍攝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電影特效製作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廣播節目製作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電視節目製作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廣播電視節目發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廣播電視廣告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藝文服務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演藝活動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聲音錄製及音樂發行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會議及展覽服務</t>
    </r>
    <r>
      <rPr>
        <sz val="10"/>
        <rFont val="微軟正黑體"/>
        <family val="0"/>
        <charset val="1"/>
      </rPr>
      <t xml:space="preserve">/</t>
    </r>
  </si>
  <si>
    <t xml:space="preserve">6B3</t>
  </si>
  <si>
    <t xml:space="preserve">陳坤斌</t>
  </si>
  <si>
    <t xml:space="preserve">退休人</t>
  </si>
  <si>
    <t xml:space="preserve">6B5</t>
  </si>
  <si>
    <t xml:space="preserve">7B1</t>
  </si>
  <si>
    <t xml:space="preserve">王麒翔</t>
  </si>
  <si>
    <t xml:space="preserve">室內設計</t>
  </si>
  <si>
    <t xml:space="preserve">7B2</t>
  </si>
  <si>
    <t xml:space="preserve">車主充電站股份有限公司</t>
  </si>
  <si>
    <t xml:space="preserve">楊森先</t>
  </si>
  <si>
    <r>
      <rPr>
        <sz val="10"/>
        <rFont val="Noto Sans CJK SC"/>
        <family val="2"/>
      </rPr>
      <t xml:space="preserve">管理顧問業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其他顧問服務業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資訊軟體服務業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資料處理服務業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電子資訊供應服務業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一般廣告服務業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廣告傳單分送業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無店面零售業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國際貿易業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會議及展覽服務業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仲介服務業</t>
    </r>
  </si>
  <si>
    <t xml:space="preserve">7B3</t>
  </si>
  <si>
    <t xml:space="preserve">傑太日煙國際股份有限公司</t>
  </si>
  <si>
    <r>
      <rPr>
        <sz val="10"/>
        <rFont val="Noto Sans CJK SC"/>
        <family val="2"/>
      </rPr>
      <t xml:space="preserve">香菸之銷售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一般進出口貿易業務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濾嘴菸具及打火機之銷售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前各項產品之代理、報價及投標</t>
    </r>
  </si>
  <si>
    <t xml:space="preserve">7B5</t>
  </si>
  <si>
    <t xml:space="preserve">沈坤成</t>
  </si>
  <si>
    <r>
      <rPr>
        <sz val="10"/>
        <rFont val="Noto Sans CJK SC"/>
        <family val="2"/>
      </rPr>
      <t xml:space="preserve">手搖飲店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家中有房產出租</t>
    </r>
  </si>
  <si>
    <t xml:space="preserve">9B3</t>
  </si>
  <si>
    <t xml:space="preserve">徐紹偉</t>
  </si>
  <si>
    <t xml:space="preserve">香港富二代</t>
  </si>
  <si>
    <t xml:space="preserve">11B5</t>
  </si>
  <si>
    <t xml:space="preserve">張正蔚</t>
  </si>
  <si>
    <t xml:space="preserve">美容事業</t>
  </si>
  <si>
    <t xml:space="preserve">12B3</t>
  </si>
  <si>
    <t xml:space="preserve">JOUATHEW</t>
  </si>
  <si>
    <t xml:space="preserve">外籍房客</t>
  </si>
  <si>
    <r>
      <rPr>
        <sz val="10"/>
        <rFont val="Noto Sans CJK SC"/>
        <family val="2"/>
      </rPr>
      <t xml:space="preserve">請其推薦 </t>
    </r>
    <r>
      <rPr>
        <sz val="10"/>
        <rFont val="微軟正黑體"/>
        <family val="0"/>
        <charset val="1"/>
      </rPr>
      <t xml:space="preserve">expat </t>
    </r>
    <r>
      <rPr>
        <sz val="10"/>
        <rFont val="Noto Sans CJK SC"/>
        <family val="2"/>
      </rPr>
      <t xml:space="preserve">社群（</t>
    </r>
    <r>
      <rPr>
        <sz val="10"/>
        <rFont val="微軟正黑體"/>
        <family val="0"/>
        <charset val="1"/>
      </rPr>
      <t xml:space="preserve">FB </t>
    </r>
    <r>
      <rPr>
        <sz val="10"/>
        <rFont val="Noto Sans CJK SC"/>
        <family val="2"/>
      </rPr>
      <t xml:space="preserve">社團、同事），提供英文推薦素材</t>
    </r>
  </si>
  <si>
    <t xml:space="preserve">12B5</t>
  </si>
  <si>
    <t xml:space="preserve">同合升有限公司</t>
  </si>
  <si>
    <t xml:space="preserve">蔡偉科</t>
  </si>
  <si>
    <t xml:space="preserve">賣茶葉的</t>
  </si>
  <si>
    <t xml:space="preserve">13B1</t>
  </si>
  <si>
    <t xml:space="preserve">蔡沁瑜</t>
  </si>
  <si>
    <t xml:space="preserve">13B2</t>
  </si>
  <si>
    <t xml:space="preserve">廖奕丞</t>
  </si>
  <si>
    <t xml:space="preserve">13B3</t>
  </si>
  <si>
    <r>
      <rPr>
        <sz val="10"/>
        <rFont val="微軟正黑體"/>
        <family val="0"/>
        <charset val="1"/>
      </rPr>
      <t xml:space="preserve">Jason Luo Pang</t>
    </r>
    <r>
      <rPr>
        <sz val="10"/>
        <rFont val="Noto Sans CJK SC"/>
        <family val="2"/>
      </rPr>
      <t xml:space="preserve">、</t>
    </r>
    <r>
      <rPr>
        <sz val="10"/>
        <rFont val="微軟正黑體"/>
        <family val="0"/>
        <charset val="1"/>
      </rPr>
      <t xml:space="preserve">Wolalak Wuwanich</t>
    </r>
  </si>
  <si>
    <t xml:space="preserve">15B1</t>
  </si>
  <si>
    <t xml:space="preserve">千益國際投資股份有限公司</t>
  </si>
  <si>
    <t xml:space="preserve">蔡瑋諺</t>
  </si>
  <si>
    <t xml:space="preserve">不動產投資</t>
  </si>
  <si>
    <t xml:space="preserve">15B2</t>
  </si>
  <si>
    <t xml:space="preserve">林勁宇</t>
  </si>
  <si>
    <t xml:space="preserve">15B3</t>
  </si>
  <si>
    <t xml:space="preserve">薛康</t>
  </si>
  <si>
    <t xml:space="preserve">退休，老婆在忠孝東路教舞</t>
  </si>
  <si>
    <t xml:space="preserve">15B5</t>
  </si>
  <si>
    <t xml:space="preserve">尹雪美</t>
  </si>
  <si>
    <t xml:space="preserve">16B1</t>
  </si>
  <si>
    <t xml:space="preserve">孫佳琪</t>
  </si>
  <si>
    <t xml:space="preserve">在家投資， 老公是外國人，外商高管</t>
  </si>
  <si>
    <t xml:space="preserve">16B2</t>
  </si>
  <si>
    <t xml:space="preserve">楊貞貞</t>
  </si>
  <si>
    <t xml:space="preserve">證券業</t>
  </si>
  <si>
    <t xml:space="preserve">16B3</t>
  </si>
  <si>
    <t xml:space="preserve">劉素屏</t>
  </si>
  <si>
    <r>
      <rPr>
        <sz val="10"/>
        <rFont val="Noto Sans CJK SC"/>
        <family val="2"/>
      </rPr>
      <t xml:space="preserve">家庭主婦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兒子出錢投資公司</t>
    </r>
  </si>
  <si>
    <t xml:space="preserve">16B5</t>
  </si>
  <si>
    <t xml:space="preserve">詹順任</t>
  </si>
  <si>
    <t xml:space="preserve">老公是科技公司的顧問，有開一個公司，在馬來西亞有很多房子在收租，老婆是賣燕窩的</t>
  </si>
  <si>
    <t xml:space="preserve">17B1</t>
  </si>
  <si>
    <t xml:space="preserve">昊之有限公司</t>
  </si>
  <si>
    <t xml:space="preserve">吳天菁</t>
  </si>
  <si>
    <t xml:space="preserve">不動產租售</t>
  </si>
  <si>
    <t xml:space="preserve">17B2</t>
  </si>
  <si>
    <t xml:space="preserve">王安瀾</t>
  </si>
  <si>
    <r>
      <rPr>
        <sz val="10"/>
        <rFont val="Noto Sans CJK SC"/>
        <family val="2"/>
      </rPr>
      <t xml:space="preserve">是</t>
    </r>
    <r>
      <rPr>
        <sz val="10"/>
        <rFont val="微軟正黑體"/>
        <family val="0"/>
        <charset val="1"/>
      </rPr>
      <t xml:space="preserve">5B3</t>
    </r>
    <r>
      <rPr>
        <sz val="10"/>
        <rFont val="Noto Sans CJK SC"/>
        <family val="2"/>
      </rPr>
      <t xml:space="preserve">的堂哥</t>
    </r>
  </si>
  <si>
    <t xml:space="preserve">17B3</t>
  </si>
  <si>
    <t xml:space="preserve">徐培薇</t>
  </si>
  <si>
    <t xml:space="preserve">17B5</t>
  </si>
  <si>
    <t xml:space="preserve">大和國泰</t>
  </si>
  <si>
    <t xml:space="preserve">譚展泉</t>
  </si>
  <si>
    <t xml:space="preserve">18B3</t>
  </si>
  <si>
    <t xml:space="preserve">洪國竣</t>
  </si>
  <si>
    <t xml:space="preserve">18B5</t>
  </si>
  <si>
    <t xml:space="preserve">19B3</t>
  </si>
  <si>
    <t xml:space="preserve">AMY</t>
  </si>
  <si>
    <t xml:space="preserve">尚未簽約，只付訂金</t>
  </si>
  <si>
    <t xml:space="preserve">待簽約</t>
  </si>
  <si>
    <t xml:space="preserve">追蹤簽約進度，設定期限</t>
  </si>
  <si>
    <t xml:space="preserve">19B5</t>
  </si>
  <si>
    <t xml:space="preserve">范顯群</t>
  </si>
  <si>
    <t xml:space="preserve">已退休，自己投資</t>
  </si>
  <si>
    <r>
      <rPr>
        <b val="true"/>
        <sz val="13"/>
        <color rgb="FF1F3A5F"/>
        <rFont val="Noto Sans CJK SC"/>
        <family val="2"/>
      </rPr>
      <t xml:space="preserve">正隆 </t>
    </r>
    <r>
      <rPr>
        <b val="true"/>
        <sz val="13"/>
        <color rgb="FF1F3A5F"/>
        <rFont val="微軟正黑體"/>
        <family val="0"/>
        <charset val="1"/>
      </rPr>
      <t xml:space="preserve">62 </t>
    </r>
    <r>
      <rPr>
        <b val="true"/>
        <sz val="13"/>
        <color rgb="FF1F3A5F"/>
        <rFont val="Noto Sans CJK SC"/>
        <family val="2"/>
      </rPr>
      <t xml:space="preserve">戶房客結構分析（依「名單分類」工作表統計）</t>
    </r>
  </si>
  <si>
    <t xml:space="preserve">戶數</t>
  </si>
  <si>
    <t xml:space="preserve">延伸動作</t>
  </si>
  <si>
    <r>
      <rPr>
        <sz val="10"/>
        <rFont val="Noto Sans CJK SC"/>
        <family val="2"/>
      </rPr>
      <t xml:space="preserve">斯洛伐克經濟文化辦事處＋傑太日煙（</t>
    </r>
    <r>
      <rPr>
        <sz val="10"/>
        <rFont val="微軟正黑體"/>
        <family val="0"/>
        <charset val="1"/>
      </rPr>
      <t xml:space="preserve">JTI</t>
    </r>
    <r>
      <rPr>
        <sz val="10"/>
        <rFont val="Noto Sans CJK SC"/>
        <family val="2"/>
      </rPr>
      <t xml:space="preserve">）＝ </t>
    </r>
    <r>
      <rPr>
        <sz val="10"/>
        <rFont val="微軟正黑體"/>
        <family val="0"/>
        <charset val="1"/>
      </rPr>
      <t xml:space="preserve">relocation</t>
    </r>
    <r>
      <rPr>
        <sz val="10"/>
        <rFont val="Noto Sans CJK SC"/>
        <family val="2"/>
      </rPr>
      <t xml:space="preserve">／外商企業租賃渠道的現成敲門磚。請對方引薦外交圈與外商 </t>
    </r>
    <r>
      <rPr>
        <sz val="10"/>
        <rFont val="微軟正黑體"/>
        <family val="0"/>
        <charset val="1"/>
      </rPr>
      <t xml:space="preserve">HR</t>
    </r>
    <r>
      <rPr>
        <sz val="10"/>
        <rFont val="Noto Sans CJK SC"/>
        <family val="2"/>
      </rPr>
      <t xml:space="preserve">，並作為對外提案的實績案例。</t>
    </r>
  </si>
  <si>
    <r>
      <rPr>
        <sz val="10"/>
        <rFont val="Noto Sans CJK SC"/>
        <family val="2"/>
      </rPr>
      <t xml:space="preserve">薛凱封（</t>
    </r>
    <r>
      <rPr>
        <sz val="10"/>
        <rFont val="微軟正黑體"/>
        <family val="0"/>
        <charset val="1"/>
      </rPr>
      <t xml:space="preserve">3 </t>
    </r>
    <r>
      <rPr>
        <sz val="10"/>
        <rFont val="Noto Sans CJK SC"/>
        <family val="2"/>
      </rPr>
      <t xml:space="preserve">戶）、洪國竣（</t>
    </r>
    <r>
      <rPr>
        <sz val="10"/>
        <rFont val="微軟正黑體"/>
        <family val="0"/>
        <charset val="1"/>
      </rPr>
      <t xml:space="preserve">2 </t>
    </r>
    <r>
      <rPr>
        <sz val="10"/>
        <rFont val="Noto Sans CJK SC"/>
        <family val="2"/>
      </rPr>
      <t xml:space="preserve">戶）信任度最高：優先談年租轉換與推薦獎勵，一個人就撐起 </t>
    </r>
    <r>
      <rPr>
        <sz val="10"/>
        <rFont val="微軟正黑體"/>
        <family val="0"/>
        <charset val="1"/>
      </rPr>
      <t xml:space="preserve">5 </t>
    </r>
    <r>
      <rPr>
        <sz val="10"/>
        <rFont val="Noto Sans CJK SC"/>
        <family val="2"/>
      </rPr>
      <t xml:space="preserve">戶。</t>
    </r>
  </si>
  <si>
    <r>
      <rPr>
        <sz val="10"/>
        <rFont val="Noto Sans CJK SC"/>
        <family val="2"/>
      </rPr>
      <t xml:space="preserve">約三分之一房客有公司背景：直接推 </t>
    </r>
    <r>
      <rPr>
        <sz val="10"/>
        <rFont val="微軟正黑體"/>
        <family val="0"/>
        <charset val="1"/>
      </rPr>
      <t xml:space="preserve">3–6 </t>
    </r>
    <r>
      <rPr>
        <sz val="10"/>
        <rFont val="Noto Sans CJK SC"/>
        <family val="2"/>
      </rPr>
      <t xml:space="preserve">個月企業方案＋統編發票，並請房客引薦公司行政</t>
    </r>
    <r>
      <rPr>
        <sz val="10"/>
        <rFont val="微軟正黑體"/>
        <family val="0"/>
        <charset val="1"/>
      </rPr>
      <t xml:space="preserve">/HR </t>
    </r>
    <r>
      <rPr>
        <sz val="10"/>
        <rFont val="Noto Sans CJK SC"/>
        <family val="2"/>
      </rPr>
      <t xml:space="preserve">承接同事住宿需求。</t>
    </r>
  </si>
  <si>
    <r>
      <rPr>
        <sz val="10"/>
        <rFont val="Noto Sans CJK SC"/>
        <family val="2"/>
      </rPr>
      <t xml:space="preserve">現成 </t>
    </r>
    <r>
      <rPr>
        <sz val="10"/>
        <rFont val="微軟正黑體"/>
        <family val="0"/>
        <charset val="1"/>
      </rPr>
      <t xml:space="preserve">expat </t>
    </r>
    <r>
      <rPr>
        <sz val="10"/>
        <rFont val="Noto Sans CJK SC"/>
        <family val="2"/>
      </rPr>
      <t xml:space="preserve">社群入口：請其在 </t>
    </r>
    <r>
      <rPr>
        <sz val="10"/>
        <rFont val="微軟正黑體"/>
        <family val="0"/>
        <charset val="1"/>
      </rPr>
      <t xml:space="preserve">FB </t>
    </r>
    <r>
      <rPr>
        <sz val="10"/>
        <rFont val="Noto Sans CJK SC"/>
        <family val="2"/>
      </rPr>
      <t xml:space="preserve">外籍社團、公司內部推薦，提供英文推薦素材與獎勵。</t>
    </r>
  </si>
  <si>
    <r>
      <rPr>
        <sz val="10"/>
        <rFont val="Noto Sans CJK SC"/>
        <family val="2"/>
      </rPr>
      <t xml:space="preserve">年租轉換首選（穩定、低流動），對應「</t>
    </r>
    <r>
      <rPr>
        <sz val="10"/>
        <rFont val="微軟正黑體"/>
        <family val="0"/>
        <charset val="1"/>
      </rPr>
      <t xml:space="preserve">6 </t>
    </r>
    <r>
      <rPr>
        <sz val="10"/>
        <rFont val="Noto Sans CJK SC"/>
        <family val="2"/>
      </rPr>
      <t xml:space="preserve">戶轉年租」策略。</t>
    </r>
  </si>
  <si>
    <t xml:space="preserve">人脈密度最高的族群，同業圈層推薦效益大。</t>
  </si>
  <si>
    <t xml:space="preserve">納入統一推薦計畫。</t>
  </si>
  <si>
    <t xml:space="preserve">維持即可。</t>
  </si>
  <si>
    <r>
      <rPr>
        <sz val="10"/>
        <rFont val="微軟正黑體"/>
        <family val="0"/>
        <charset val="1"/>
      </rPr>
      <t xml:space="preserve">19B3 AMY </t>
    </r>
    <r>
      <rPr>
        <sz val="10"/>
        <rFont val="Noto Sans CJK SC"/>
        <family val="2"/>
      </rPr>
      <t xml:space="preserve">只付訂金未簽約，設定追蹤期限。</t>
    </r>
  </si>
  <si>
    <r>
      <rPr>
        <sz val="10"/>
        <rFont val="微軟正黑體"/>
        <family val="0"/>
        <charset val="1"/>
      </rPr>
      <t xml:space="preserve">2B10</t>
    </r>
    <r>
      <rPr>
        <sz val="10"/>
        <rFont val="Noto Sans CJK SC"/>
        <family val="2"/>
      </rPr>
      <t xml:space="preserve">、</t>
    </r>
    <r>
      <rPr>
        <sz val="10"/>
        <rFont val="微軟正黑體"/>
        <family val="0"/>
        <charset val="1"/>
      </rPr>
      <t xml:space="preserve">6B5 </t>
    </r>
    <r>
      <rPr>
        <sz val="10"/>
        <rFont val="Noto Sans CJK SC"/>
        <family val="2"/>
      </rPr>
      <t xml:space="preserve">立即多渠道上架，勿再單靠 </t>
    </r>
    <r>
      <rPr>
        <sz val="10"/>
        <rFont val="微軟正黑體"/>
        <family val="0"/>
        <charset val="1"/>
      </rPr>
      <t xml:space="preserve">Airbnb</t>
    </r>
    <r>
      <rPr>
        <sz val="10"/>
        <rFont val="Noto Sans CJK SC"/>
        <family val="2"/>
      </rPr>
      <t xml:space="preserve">。</t>
    </r>
  </si>
  <si>
    <t xml:space="preserve">資料不全</t>
  </si>
  <si>
    <r>
      <rPr>
        <sz val="10"/>
        <rFont val="Noto Sans CJK SC"/>
        <family val="2"/>
      </rPr>
      <t xml:space="preserve">缺姓名</t>
    </r>
    <r>
      <rPr>
        <sz val="10"/>
        <rFont val="微軟正黑體"/>
        <family val="0"/>
        <charset val="1"/>
      </rPr>
      <t xml:space="preserve">/</t>
    </r>
    <r>
      <rPr>
        <sz val="10"/>
        <rFont val="Noto Sans CJK SC"/>
        <family val="2"/>
      </rPr>
      <t xml:space="preserve">行業者補齊。</t>
    </r>
  </si>
  <si>
    <t xml:space="preserve">合計</t>
  </si>
  <si>
    <r>
      <rPr>
        <b val="true"/>
        <sz val="13"/>
        <color rgb="FF1F3A5F"/>
        <rFont val="Noto Sans CJK SC"/>
        <family val="2"/>
      </rPr>
      <t xml:space="preserve">資料缺口（建議 </t>
    </r>
    <r>
      <rPr>
        <b val="true"/>
        <sz val="13"/>
        <color rgb="FF1F3A5F"/>
        <rFont val="微軟正黑體"/>
        <family val="0"/>
        <charset val="1"/>
      </rPr>
      <t xml:space="preserve">Cindy </t>
    </r>
    <r>
      <rPr>
        <b val="true"/>
        <sz val="13"/>
        <color rgb="FF1F3A5F"/>
        <rFont val="Noto Sans CJK SC"/>
        <family val="2"/>
      </rPr>
      <t xml:space="preserve">補欄位，名單才能變成可經營的 </t>
    </r>
    <r>
      <rPr>
        <b val="true"/>
        <sz val="13"/>
        <color rgb="FF1F3A5F"/>
        <rFont val="微軟正黑體"/>
        <family val="0"/>
        <charset val="1"/>
      </rPr>
      <t xml:space="preserve">CRM</t>
    </r>
    <r>
      <rPr>
        <b val="true"/>
        <sz val="13"/>
        <color rgb="FF1F3A5F"/>
        <rFont val="Noto Sans CJK SC"/>
        <family val="2"/>
      </rPr>
      <t xml:space="preserve">）</t>
    </r>
  </si>
  <si>
    <t xml:space="preserve">•</t>
  </si>
  <si>
    <t xml:space="preserve">缺「入住日／租期迄日」→ 無法排續約攻防與年租轉換時點</t>
  </si>
  <si>
    <t xml:space="preserve">缺「租金」→ 無法算各分類貢獻與轉年租的收入影響</t>
  </si>
  <si>
    <t xml:space="preserve">缺「聯絡方式／慣用語言」→ 推薦計畫無法發動</t>
  </si>
  <si>
    <r>
      <rPr>
        <sz val="10"/>
        <rFont val="Noto Sans CJK SC"/>
        <family val="2"/>
      </rPr>
      <t xml:space="preserve">缺「來源渠道」→ 無法驗證去 </t>
    </r>
    <r>
      <rPr>
        <sz val="10"/>
        <rFont val="微軟正黑體"/>
        <family val="0"/>
        <charset val="1"/>
      </rPr>
      <t xml:space="preserve">Airbnb </t>
    </r>
    <r>
      <rPr>
        <sz val="10"/>
        <rFont val="Noto Sans CJK SC"/>
        <family val="2"/>
      </rPr>
      <t xml:space="preserve">化的成效</t>
    </r>
  </si>
  <si>
    <r>
      <rPr>
        <sz val="10"/>
        <rFont val="Noto Sans CJK SC"/>
        <family val="2"/>
      </rPr>
      <t xml:space="preserve">既有欄位缺漏：</t>
    </r>
    <r>
      <rPr>
        <sz val="10"/>
        <rFont val="微軟正黑體"/>
        <family val="0"/>
        <charset val="1"/>
      </rPr>
      <t xml:space="preserve">3 </t>
    </r>
    <r>
      <rPr>
        <sz val="10"/>
        <rFont val="Noto Sans CJK SC"/>
        <family val="2"/>
      </rPr>
      <t xml:space="preserve">戶無姓名、</t>
    </r>
    <r>
      <rPr>
        <sz val="10"/>
        <rFont val="微軟正黑體"/>
        <family val="0"/>
        <charset val="1"/>
      </rPr>
      <t xml:space="preserve">8 </t>
    </r>
    <r>
      <rPr>
        <sz val="10"/>
        <rFont val="Noto Sans CJK SC"/>
        <family val="2"/>
      </rPr>
      <t xml:space="preserve">戶無行業、</t>
    </r>
    <r>
      <rPr>
        <sz val="10"/>
        <rFont val="微軟正黑體"/>
        <family val="0"/>
        <charset val="1"/>
      </rPr>
      <t xml:space="preserve">11 </t>
    </r>
    <r>
      <rPr>
        <sz val="10"/>
        <rFont val="Noto Sans CJK SC"/>
        <family val="2"/>
      </rPr>
      <t xml:space="preserve">戶無年紀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</si>
</sst>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0"/>
      <name val="微軟正黑體"/>
      <family val="0"/>
      <charset val="1"/>
    </font>
    <font>
      <sz val="10"/>
      <name val="Noto Sans CJK SC"/>
      <family val="2"/>
    </font>
    <font>
      <b val="true"/>
      <sz val="13"/>
      <color rgb="FF1F3A5F"/>
      <name val="Noto Sans CJK SC"/>
      <family val="2"/>
    </font>
    <font>
      <b val="true"/>
      <sz val="13"/>
      <color rgb="FF1F3A5F"/>
      <name val="微軟正黑體"/>
      <family val="0"/>
      <charset val="1"/>
    </font>
    <font>
      <b val="true"/>
      <sz val="11"/>
      <name val="Noto Sans CJK SC"/>
      <family val="2"/>
    </font>
    <font>
      <b val="true"/>
      <sz val="11"/>
      <name val="微軟正黑體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7"/>
    <col collapsed="false" customWidth="true" hidden="false" outlineLevel="0" max="5" min="5" style="0" width="40"/>
    <col collapsed="false" customWidth="true" hidden="false" outlineLevel="0" max="6" min="6" style="0" width="16"/>
    <col collapsed="false" customWidth="true" hidden="false" outlineLevel="0" max="7" min="7" style="0" width="44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s">
        <v>9</v>
      </c>
      <c r="C2" s="4" t="s">
        <v>10</v>
      </c>
      <c r="D2" s="2" t="n">
        <v>42</v>
      </c>
      <c r="E2" s="3" t="s">
        <v>11</v>
      </c>
      <c r="F2" s="4" t="s">
        <v>12</v>
      </c>
      <c r="G2" s="3" t="s">
        <v>13</v>
      </c>
      <c r="H2" s="4" t="s">
        <v>14</v>
      </c>
    </row>
    <row r="3" customFormat="false" ht="15" hidden="false" customHeight="false" outlineLevel="0" collapsed="false">
      <c r="A3" s="2" t="s">
        <v>15</v>
      </c>
      <c r="B3" s="3"/>
      <c r="C3" s="4" t="s">
        <v>16</v>
      </c>
      <c r="D3" s="2" t="n">
        <v>36</v>
      </c>
      <c r="E3" s="3" t="s">
        <v>17</v>
      </c>
      <c r="F3" s="4" t="s">
        <v>18</v>
      </c>
      <c r="G3" s="3" t="s">
        <v>19</v>
      </c>
      <c r="H3" s="4" t="s">
        <v>20</v>
      </c>
    </row>
    <row r="4" customFormat="false" ht="15" hidden="false" customHeight="false" outlineLevel="0" collapsed="false">
      <c r="A4" s="2" t="s">
        <v>21</v>
      </c>
      <c r="B4" s="3"/>
      <c r="C4" s="4" t="s">
        <v>22</v>
      </c>
      <c r="D4" s="2" t="n">
        <v>48</v>
      </c>
      <c r="E4" s="3" t="s">
        <v>23</v>
      </c>
      <c r="F4" s="4" t="s">
        <v>18</v>
      </c>
      <c r="G4" s="3" t="s">
        <v>19</v>
      </c>
      <c r="H4" s="4" t="s">
        <v>20</v>
      </c>
    </row>
    <row r="5" customFormat="false" ht="15" hidden="false" customHeight="false" outlineLevel="0" collapsed="false">
      <c r="A5" s="2" t="s">
        <v>24</v>
      </c>
      <c r="B5" s="3"/>
      <c r="C5" s="4" t="s">
        <v>25</v>
      </c>
      <c r="D5" s="2" t="n">
        <v>20</v>
      </c>
      <c r="E5" s="3" t="s">
        <v>26</v>
      </c>
      <c r="F5" s="4" t="s">
        <v>27</v>
      </c>
      <c r="G5" s="3" t="s">
        <v>28</v>
      </c>
      <c r="H5" s="4" t="s">
        <v>29</v>
      </c>
    </row>
    <row r="6" customFormat="false" ht="15" hidden="false" customHeight="false" outlineLevel="0" collapsed="false">
      <c r="A6" s="2" t="s">
        <v>30</v>
      </c>
      <c r="B6" s="3" t="s">
        <v>31</v>
      </c>
      <c r="C6" s="4" t="s">
        <v>32</v>
      </c>
      <c r="D6" s="2" t="n">
        <v>42</v>
      </c>
      <c r="E6" s="3" t="s">
        <v>33</v>
      </c>
      <c r="F6" s="4" t="s">
        <v>12</v>
      </c>
      <c r="G6" s="3" t="s">
        <v>13</v>
      </c>
      <c r="H6" s="4" t="s">
        <v>14</v>
      </c>
    </row>
    <row r="7" customFormat="false" ht="15" hidden="false" customHeight="false" outlineLevel="0" collapsed="false">
      <c r="A7" s="5" t="s">
        <v>34</v>
      </c>
      <c r="B7" s="6"/>
      <c r="C7" s="7" t="s">
        <v>35</v>
      </c>
      <c r="D7" s="5" t="n">
        <v>33</v>
      </c>
      <c r="E7" s="8" t="s">
        <v>36</v>
      </c>
      <c r="F7" s="7" t="s">
        <v>37</v>
      </c>
      <c r="G7" s="8" t="s">
        <v>38</v>
      </c>
      <c r="H7" s="7" t="s">
        <v>39</v>
      </c>
    </row>
    <row r="8" customFormat="false" ht="15" hidden="false" customHeight="false" outlineLevel="0" collapsed="false">
      <c r="A8" s="2" t="s">
        <v>40</v>
      </c>
      <c r="B8" s="3" t="s">
        <v>41</v>
      </c>
      <c r="C8" s="4" t="s">
        <v>42</v>
      </c>
      <c r="D8" s="2" t="n">
        <v>55</v>
      </c>
      <c r="E8" s="3" t="s">
        <v>43</v>
      </c>
      <c r="F8" s="4" t="s">
        <v>12</v>
      </c>
      <c r="G8" s="3" t="s">
        <v>13</v>
      </c>
      <c r="H8" s="4" t="s">
        <v>14</v>
      </c>
    </row>
    <row r="9" customFormat="false" ht="15" hidden="false" customHeight="false" outlineLevel="0" collapsed="false">
      <c r="A9" s="2" t="s">
        <v>44</v>
      </c>
      <c r="B9" s="3"/>
      <c r="C9" s="4" t="s">
        <v>45</v>
      </c>
      <c r="D9" s="2" t="n">
        <v>58</v>
      </c>
      <c r="E9" s="3" t="s">
        <v>46</v>
      </c>
      <c r="F9" s="4" t="s">
        <v>18</v>
      </c>
      <c r="G9" s="3" t="s">
        <v>19</v>
      </c>
      <c r="H9" s="4" t="s">
        <v>20</v>
      </c>
    </row>
    <row r="10" customFormat="false" ht="15" hidden="false" customHeight="false" outlineLevel="0" collapsed="false">
      <c r="A10" s="5" t="s">
        <v>47</v>
      </c>
      <c r="B10" s="6"/>
      <c r="C10" s="7" t="s">
        <v>35</v>
      </c>
      <c r="D10" s="5" t="n">
        <v>33</v>
      </c>
      <c r="E10" s="8" t="s">
        <v>36</v>
      </c>
      <c r="F10" s="7" t="s">
        <v>37</v>
      </c>
      <c r="G10" s="8" t="s">
        <v>38</v>
      </c>
      <c r="H10" s="7" t="s">
        <v>39</v>
      </c>
    </row>
    <row r="11" customFormat="false" ht="15" hidden="false" customHeight="false" outlineLevel="0" collapsed="false">
      <c r="A11" s="2" t="s">
        <v>48</v>
      </c>
      <c r="B11" s="3"/>
      <c r="C11" s="4" t="s">
        <v>49</v>
      </c>
      <c r="D11" s="2" t="n">
        <v>72</v>
      </c>
      <c r="E11" s="3" t="s">
        <v>50</v>
      </c>
      <c r="F11" s="4" t="s">
        <v>51</v>
      </c>
      <c r="G11" s="3" t="s">
        <v>52</v>
      </c>
      <c r="H11" s="4" t="s">
        <v>53</v>
      </c>
    </row>
    <row r="12" customFormat="false" ht="15" hidden="false" customHeight="false" outlineLevel="0" collapsed="false">
      <c r="A12" s="2" t="s">
        <v>54</v>
      </c>
      <c r="B12" s="3"/>
      <c r="C12" s="4" t="s">
        <v>55</v>
      </c>
      <c r="D12" s="2"/>
      <c r="E12" s="3"/>
      <c r="F12" s="4" t="s">
        <v>18</v>
      </c>
      <c r="G12" s="3" t="s">
        <v>19</v>
      </c>
      <c r="H12" s="4" t="s">
        <v>20</v>
      </c>
    </row>
    <row r="13" customFormat="false" ht="15" hidden="false" customHeight="false" outlineLevel="0" collapsed="false">
      <c r="A13" s="2" t="s">
        <v>56</v>
      </c>
      <c r="B13" s="3"/>
      <c r="C13" s="4" t="s">
        <v>57</v>
      </c>
      <c r="D13" s="2" t="n">
        <v>29</v>
      </c>
      <c r="E13" s="3" t="s">
        <v>58</v>
      </c>
      <c r="F13" s="4" t="s">
        <v>59</v>
      </c>
      <c r="G13" s="3" t="s">
        <v>60</v>
      </c>
      <c r="H13" s="4" t="s">
        <v>20</v>
      </c>
    </row>
    <row r="14" customFormat="false" ht="15" hidden="false" customHeight="false" outlineLevel="0" collapsed="false">
      <c r="A14" s="2" t="s">
        <v>61</v>
      </c>
      <c r="B14" s="3"/>
      <c r="C14" s="4" t="s">
        <v>62</v>
      </c>
      <c r="D14" s="2" t="n">
        <v>44</v>
      </c>
      <c r="E14" s="3" t="s">
        <v>63</v>
      </c>
      <c r="F14" s="4" t="s">
        <v>18</v>
      </c>
      <c r="G14" s="3" t="s">
        <v>19</v>
      </c>
      <c r="H14" s="4" t="s">
        <v>20</v>
      </c>
    </row>
    <row r="15" customFormat="false" ht="15" hidden="false" customHeight="false" outlineLevel="0" collapsed="false">
      <c r="A15" s="2" t="s">
        <v>64</v>
      </c>
      <c r="B15" s="3" t="s">
        <v>65</v>
      </c>
      <c r="C15" s="4" t="s">
        <v>66</v>
      </c>
      <c r="D15" s="2" t="n">
        <v>52</v>
      </c>
      <c r="E15" s="3" t="s">
        <v>43</v>
      </c>
      <c r="F15" s="4" t="s">
        <v>12</v>
      </c>
      <c r="G15" s="3" t="s">
        <v>13</v>
      </c>
      <c r="H15" s="4" t="s">
        <v>14</v>
      </c>
    </row>
    <row r="16" customFormat="false" ht="15" hidden="false" customHeight="false" outlineLevel="0" collapsed="false">
      <c r="A16" s="2" t="s">
        <v>67</v>
      </c>
      <c r="B16" s="3" t="s">
        <v>68</v>
      </c>
      <c r="C16" s="2" t="s">
        <v>69</v>
      </c>
      <c r="D16" s="2" t="n">
        <v>46</v>
      </c>
      <c r="E16" s="3" t="s">
        <v>70</v>
      </c>
      <c r="F16" s="4" t="s">
        <v>12</v>
      </c>
      <c r="G16" s="3" t="s">
        <v>13</v>
      </c>
      <c r="H16" s="4" t="s">
        <v>14</v>
      </c>
    </row>
    <row r="17" customFormat="false" ht="15" hidden="false" customHeight="false" outlineLevel="0" collapsed="false">
      <c r="A17" s="2" t="s">
        <v>71</v>
      </c>
      <c r="B17" s="3" t="s">
        <v>72</v>
      </c>
      <c r="C17" s="2" t="s">
        <v>73</v>
      </c>
      <c r="D17" s="2" t="n">
        <v>28</v>
      </c>
      <c r="E17" s="3" t="s">
        <v>74</v>
      </c>
      <c r="F17" s="4" t="s">
        <v>12</v>
      </c>
      <c r="G17" s="3" t="s">
        <v>13</v>
      </c>
      <c r="H17" s="4" t="s">
        <v>14</v>
      </c>
    </row>
    <row r="18" customFormat="false" ht="15" hidden="false" customHeight="false" outlineLevel="0" collapsed="false">
      <c r="A18" s="2" t="s">
        <v>75</v>
      </c>
      <c r="B18" s="3" t="s">
        <v>76</v>
      </c>
      <c r="C18" s="4" t="s">
        <v>77</v>
      </c>
      <c r="D18" s="2" t="n">
        <v>32</v>
      </c>
      <c r="E18" s="3" t="s">
        <v>17</v>
      </c>
      <c r="F18" s="4" t="s">
        <v>12</v>
      </c>
      <c r="G18" s="3" t="s">
        <v>13</v>
      </c>
      <c r="H18" s="4" t="s">
        <v>14</v>
      </c>
    </row>
    <row r="19" customFormat="false" ht="15" hidden="false" customHeight="false" outlineLevel="0" collapsed="false">
      <c r="A19" s="5" t="s">
        <v>78</v>
      </c>
      <c r="B19" s="6"/>
      <c r="C19" s="7" t="s">
        <v>35</v>
      </c>
      <c r="D19" s="5" t="n">
        <v>33</v>
      </c>
      <c r="E19" s="8" t="s">
        <v>36</v>
      </c>
      <c r="F19" s="7" t="s">
        <v>37</v>
      </c>
      <c r="G19" s="8" t="s">
        <v>38</v>
      </c>
      <c r="H19" s="7" t="s">
        <v>39</v>
      </c>
    </row>
    <row r="20" customFormat="false" ht="29.85" hidden="false" customHeight="false" outlineLevel="0" collapsed="false">
      <c r="A20" s="5" t="s">
        <v>79</v>
      </c>
      <c r="B20" s="6"/>
      <c r="C20" s="5" t="s">
        <v>80</v>
      </c>
      <c r="D20" s="5"/>
      <c r="E20" s="8" t="s">
        <v>81</v>
      </c>
      <c r="F20" s="7" t="s">
        <v>82</v>
      </c>
      <c r="G20" s="8" t="s">
        <v>83</v>
      </c>
      <c r="H20" s="7" t="s">
        <v>39</v>
      </c>
    </row>
    <row r="21" customFormat="false" ht="15" hidden="false" customHeight="false" outlineLevel="0" collapsed="false">
      <c r="A21" s="2" t="s">
        <v>84</v>
      </c>
      <c r="B21" s="3"/>
      <c r="C21" s="4" t="s">
        <v>85</v>
      </c>
      <c r="D21" s="2" t="n">
        <v>26</v>
      </c>
      <c r="E21" s="3" t="s">
        <v>17</v>
      </c>
      <c r="F21" s="4" t="s">
        <v>18</v>
      </c>
      <c r="G21" s="3" t="s">
        <v>19</v>
      </c>
      <c r="H21" s="4" t="s">
        <v>20</v>
      </c>
    </row>
    <row r="22" customFormat="false" ht="15" hidden="false" customHeight="false" outlineLevel="0" collapsed="false">
      <c r="A22" s="2" t="s">
        <v>86</v>
      </c>
      <c r="B22" s="3" t="s">
        <v>87</v>
      </c>
      <c r="C22" s="4" t="s">
        <v>88</v>
      </c>
      <c r="D22" s="2" t="n">
        <v>55</v>
      </c>
      <c r="E22" s="3" t="s">
        <v>89</v>
      </c>
      <c r="F22" s="4" t="s">
        <v>12</v>
      </c>
      <c r="G22" s="3" t="s">
        <v>13</v>
      </c>
      <c r="H22" s="4" t="s">
        <v>14</v>
      </c>
    </row>
    <row r="23" customFormat="false" ht="15" hidden="false" customHeight="false" outlineLevel="0" collapsed="false">
      <c r="A23" s="2" t="s">
        <v>90</v>
      </c>
      <c r="B23" s="3"/>
      <c r="C23" s="4" t="s">
        <v>91</v>
      </c>
      <c r="D23" s="2" t="n">
        <v>62</v>
      </c>
      <c r="E23" s="3" t="s">
        <v>92</v>
      </c>
      <c r="F23" s="4" t="s">
        <v>18</v>
      </c>
      <c r="G23" s="3" t="s">
        <v>19</v>
      </c>
      <c r="H23" s="4" t="s">
        <v>20</v>
      </c>
    </row>
    <row r="24" customFormat="false" ht="15" hidden="false" customHeight="false" outlineLevel="0" collapsed="false">
      <c r="A24" s="2" t="s">
        <v>93</v>
      </c>
      <c r="B24" s="3"/>
      <c r="C24" s="2"/>
      <c r="D24" s="2"/>
      <c r="E24" s="3"/>
      <c r="F24" s="4" t="s">
        <v>94</v>
      </c>
      <c r="G24" s="3" t="s">
        <v>95</v>
      </c>
      <c r="H24" s="4" t="s">
        <v>14</v>
      </c>
    </row>
    <row r="25" customFormat="false" ht="15" hidden="false" customHeight="false" outlineLevel="0" collapsed="false">
      <c r="A25" s="2" t="s">
        <v>96</v>
      </c>
      <c r="B25" s="3"/>
      <c r="C25" s="4" t="s">
        <v>97</v>
      </c>
      <c r="D25" s="2" t="n">
        <v>38</v>
      </c>
      <c r="E25" s="3" t="s">
        <v>98</v>
      </c>
      <c r="F25" s="4" t="s">
        <v>18</v>
      </c>
      <c r="G25" s="3" t="s">
        <v>19</v>
      </c>
      <c r="H25" s="4" t="s">
        <v>20</v>
      </c>
    </row>
    <row r="26" customFormat="false" ht="15" hidden="false" customHeight="false" outlineLevel="0" collapsed="false">
      <c r="A26" s="2" t="s">
        <v>99</v>
      </c>
      <c r="B26" s="3"/>
      <c r="C26" s="4" t="s">
        <v>100</v>
      </c>
      <c r="D26" s="2" t="n">
        <v>40</v>
      </c>
      <c r="E26" s="3" t="s">
        <v>101</v>
      </c>
      <c r="F26" s="4" t="s">
        <v>18</v>
      </c>
      <c r="G26" s="3" t="s">
        <v>19</v>
      </c>
      <c r="H26" s="4" t="s">
        <v>20</v>
      </c>
    </row>
    <row r="27" customFormat="false" ht="15" hidden="false" customHeight="false" outlineLevel="0" collapsed="false">
      <c r="A27" s="2" t="s">
        <v>102</v>
      </c>
      <c r="B27" s="9" t="s">
        <v>103</v>
      </c>
      <c r="C27" s="4" t="s">
        <v>104</v>
      </c>
      <c r="D27" s="2" t="n">
        <v>42</v>
      </c>
      <c r="E27" s="3" t="s">
        <v>105</v>
      </c>
      <c r="F27" s="4" t="s">
        <v>12</v>
      </c>
      <c r="G27" s="3" t="s">
        <v>13</v>
      </c>
      <c r="H27" s="4" t="s">
        <v>14</v>
      </c>
    </row>
    <row r="28" customFormat="false" ht="15" hidden="false" customHeight="false" outlineLevel="0" collapsed="false">
      <c r="A28" s="2" t="s">
        <v>106</v>
      </c>
      <c r="B28" s="3" t="s">
        <v>107</v>
      </c>
      <c r="C28" s="4" t="s">
        <v>108</v>
      </c>
      <c r="D28" s="2" t="n">
        <v>44</v>
      </c>
      <c r="E28" s="3" t="s">
        <v>109</v>
      </c>
      <c r="F28" s="4" t="s">
        <v>12</v>
      </c>
      <c r="G28" s="3" t="s">
        <v>13</v>
      </c>
      <c r="H28" s="4" t="s">
        <v>14</v>
      </c>
    </row>
    <row r="29" customFormat="false" ht="15" hidden="false" customHeight="false" outlineLevel="0" collapsed="false">
      <c r="A29" s="2" t="s">
        <v>110</v>
      </c>
      <c r="B29" s="9"/>
      <c r="C29" s="4" t="s">
        <v>111</v>
      </c>
      <c r="D29" s="2" t="n">
        <v>32</v>
      </c>
      <c r="E29" s="3" t="s">
        <v>112</v>
      </c>
      <c r="F29" s="4" t="s">
        <v>18</v>
      </c>
      <c r="G29" s="3" t="s">
        <v>19</v>
      </c>
      <c r="H29" s="4" t="s">
        <v>20</v>
      </c>
    </row>
    <row r="30" customFormat="false" ht="15" hidden="false" customHeight="false" outlineLevel="0" collapsed="false">
      <c r="A30" s="2" t="s">
        <v>113</v>
      </c>
      <c r="B30" s="9"/>
      <c r="C30" s="4" t="s">
        <v>114</v>
      </c>
      <c r="D30" s="2" t="n">
        <v>48</v>
      </c>
      <c r="E30" s="3" t="s">
        <v>115</v>
      </c>
      <c r="F30" s="4" t="s">
        <v>18</v>
      </c>
      <c r="G30" s="3" t="s">
        <v>19</v>
      </c>
      <c r="H30" s="4" t="s">
        <v>20</v>
      </c>
    </row>
    <row r="31" customFormat="false" ht="15" hidden="false" customHeight="false" outlineLevel="0" collapsed="false">
      <c r="A31" s="2" t="s">
        <v>116</v>
      </c>
      <c r="B31" s="3" t="s">
        <v>117</v>
      </c>
      <c r="C31" s="4" t="s">
        <v>118</v>
      </c>
      <c r="D31" s="2" t="n">
        <v>27</v>
      </c>
      <c r="E31" s="3" t="s">
        <v>119</v>
      </c>
      <c r="F31" s="4" t="s">
        <v>12</v>
      </c>
      <c r="G31" s="3" t="s">
        <v>13</v>
      </c>
      <c r="H31" s="4" t="s">
        <v>14</v>
      </c>
    </row>
    <row r="32" customFormat="false" ht="15" hidden="false" customHeight="false" outlineLevel="0" collapsed="false">
      <c r="A32" s="2" t="s">
        <v>120</v>
      </c>
      <c r="B32" s="3" t="s">
        <v>121</v>
      </c>
      <c r="C32" s="2" t="s">
        <v>122</v>
      </c>
      <c r="D32" s="2" t="n">
        <v>32</v>
      </c>
      <c r="E32" s="3" t="s">
        <v>123</v>
      </c>
      <c r="F32" s="4" t="s">
        <v>12</v>
      </c>
      <c r="G32" s="3" t="s">
        <v>13</v>
      </c>
      <c r="H32" s="4" t="s">
        <v>14</v>
      </c>
    </row>
    <row r="33" customFormat="false" ht="15" hidden="false" customHeight="false" outlineLevel="0" collapsed="false">
      <c r="A33" s="2" t="s">
        <v>124</v>
      </c>
      <c r="B33" s="3" t="s">
        <v>125</v>
      </c>
      <c r="C33" s="4" t="s">
        <v>126</v>
      </c>
      <c r="D33" s="2" t="n">
        <v>38</v>
      </c>
      <c r="E33" s="3" t="s">
        <v>127</v>
      </c>
      <c r="F33" s="4" t="s">
        <v>12</v>
      </c>
      <c r="G33" s="3" t="s">
        <v>13</v>
      </c>
      <c r="H33" s="4" t="s">
        <v>14</v>
      </c>
    </row>
    <row r="34" customFormat="false" ht="58.2" hidden="false" customHeight="false" outlineLevel="0" collapsed="false">
      <c r="A34" s="2" t="s">
        <v>128</v>
      </c>
      <c r="B34" s="3" t="s">
        <v>129</v>
      </c>
      <c r="C34" s="4" t="s">
        <v>130</v>
      </c>
      <c r="D34" s="2" t="n">
        <v>48</v>
      </c>
      <c r="E34" s="3" t="s">
        <v>131</v>
      </c>
      <c r="F34" s="4" t="s">
        <v>12</v>
      </c>
      <c r="G34" s="3" t="s">
        <v>13</v>
      </c>
      <c r="H34" s="4" t="s">
        <v>14</v>
      </c>
    </row>
    <row r="35" customFormat="false" ht="15" hidden="false" customHeight="false" outlineLevel="0" collapsed="false">
      <c r="A35" s="2" t="s">
        <v>132</v>
      </c>
      <c r="B35" s="9"/>
      <c r="C35" s="4" t="s">
        <v>133</v>
      </c>
      <c r="D35" s="2" t="n">
        <v>68</v>
      </c>
      <c r="E35" s="3" t="s">
        <v>134</v>
      </c>
      <c r="F35" s="4" t="s">
        <v>51</v>
      </c>
      <c r="G35" s="3" t="s">
        <v>52</v>
      </c>
      <c r="H35" s="4" t="s">
        <v>53</v>
      </c>
    </row>
    <row r="36" customFormat="false" ht="15" hidden="false" customHeight="false" outlineLevel="0" collapsed="false">
      <c r="A36" s="2" t="s">
        <v>135</v>
      </c>
      <c r="B36" s="9"/>
      <c r="C36" s="2"/>
      <c r="D36" s="2"/>
      <c r="E36" s="9"/>
      <c r="F36" s="4" t="s">
        <v>94</v>
      </c>
      <c r="G36" s="3" t="s">
        <v>95</v>
      </c>
      <c r="H36" s="4" t="s">
        <v>14</v>
      </c>
    </row>
    <row r="37" customFormat="false" ht="15" hidden="false" customHeight="false" outlineLevel="0" collapsed="false">
      <c r="A37" s="2" t="s">
        <v>136</v>
      </c>
      <c r="B37" s="9"/>
      <c r="C37" s="4" t="s">
        <v>137</v>
      </c>
      <c r="D37" s="2"/>
      <c r="E37" s="3" t="s">
        <v>138</v>
      </c>
      <c r="F37" s="4" t="s">
        <v>18</v>
      </c>
      <c r="G37" s="3" t="s">
        <v>19</v>
      </c>
      <c r="H37" s="4" t="s">
        <v>20</v>
      </c>
    </row>
    <row r="38" customFormat="false" ht="58.2" hidden="false" customHeight="false" outlineLevel="0" collapsed="false">
      <c r="A38" s="2" t="s">
        <v>139</v>
      </c>
      <c r="B38" s="3" t="s">
        <v>140</v>
      </c>
      <c r="C38" s="4" t="s">
        <v>141</v>
      </c>
      <c r="D38" s="2" t="n">
        <v>33</v>
      </c>
      <c r="E38" s="3" t="s">
        <v>142</v>
      </c>
      <c r="F38" s="4" t="s">
        <v>12</v>
      </c>
      <c r="G38" s="3" t="s">
        <v>13</v>
      </c>
      <c r="H38" s="4" t="s">
        <v>14</v>
      </c>
    </row>
    <row r="39" customFormat="false" ht="29.85" hidden="false" customHeight="false" outlineLevel="0" collapsed="false">
      <c r="A39" s="5" t="s">
        <v>143</v>
      </c>
      <c r="B39" s="8" t="s">
        <v>144</v>
      </c>
      <c r="C39" s="5"/>
      <c r="D39" s="5" t="n">
        <v>52</v>
      </c>
      <c r="E39" s="8" t="s">
        <v>145</v>
      </c>
      <c r="F39" s="7" t="s">
        <v>82</v>
      </c>
      <c r="G39" s="8" t="s">
        <v>83</v>
      </c>
      <c r="H39" s="7" t="s">
        <v>39</v>
      </c>
    </row>
    <row r="40" customFormat="false" ht="15" hidden="false" customHeight="false" outlineLevel="0" collapsed="false">
      <c r="A40" s="2" t="s">
        <v>146</v>
      </c>
      <c r="B40" s="9"/>
      <c r="C40" s="4" t="s">
        <v>147</v>
      </c>
      <c r="D40" s="2" t="n">
        <v>38</v>
      </c>
      <c r="E40" s="3" t="s">
        <v>148</v>
      </c>
      <c r="F40" s="4" t="s">
        <v>18</v>
      </c>
      <c r="G40" s="3" t="s">
        <v>19</v>
      </c>
      <c r="H40" s="4" t="s">
        <v>20</v>
      </c>
    </row>
    <row r="41" customFormat="false" ht="15" hidden="false" customHeight="false" outlineLevel="0" collapsed="false">
      <c r="A41" s="2" t="s">
        <v>149</v>
      </c>
      <c r="B41" s="9"/>
      <c r="C41" s="4" t="s">
        <v>150</v>
      </c>
      <c r="D41" s="2" t="n">
        <v>27</v>
      </c>
      <c r="E41" s="3" t="s">
        <v>151</v>
      </c>
      <c r="F41" s="4" t="s">
        <v>18</v>
      </c>
      <c r="G41" s="3" t="s">
        <v>19</v>
      </c>
      <c r="H41" s="4" t="s">
        <v>20</v>
      </c>
    </row>
    <row r="42" customFormat="false" ht="15" hidden="false" customHeight="false" outlineLevel="0" collapsed="false">
      <c r="A42" s="2" t="s">
        <v>152</v>
      </c>
      <c r="B42" s="9"/>
      <c r="C42" s="4" t="s">
        <v>153</v>
      </c>
      <c r="D42" s="2" t="n">
        <v>30</v>
      </c>
      <c r="E42" s="3" t="s">
        <v>154</v>
      </c>
      <c r="F42" s="4" t="s">
        <v>18</v>
      </c>
      <c r="G42" s="3" t="s">
        <v>19</v>
      </c>
      <c r="H42" s="4" t="s">
        <v>20</v>
      </c>
    </row>
    <row r="43" customFormat="false" ht="29.85" hidden="false" customHeight="false" outlineLevel="0" collapsed="false">
      <c r="A43" s="2" t="s">
        <v>155</v>
      </c>
      <c r="B43" s="9"/>
      <c r="C43" s="2" t="s">
        <v>156</v>
      </c>
      <c r="D43" s="2"/>
      <c r="E43" s="3" t="s">
        <v>63</v>
      </c>
      <c r="F43" s="4" t="s">
        <v>157</v>
      </c>
      <c r="G43" s="3" t="s">
        <v>158</v>
      </c>
      <c r="H43" s="4" t="s">
        <v>53</v>
      </c>
    </row>
    <row r="44" customFormat="false" ht="15" hidden="false" customHeight="false" outlineLevel="0" collapsed="false">
      <c r="A44" s="2" t="s">
        <v>159</v>
      </c>
      <c r="B44" s="3" t="s">
        <v>160</v>
      </c>
      <c r="C44" s="4" t="s">
        <v>161</v>
      </c>
      <c r="D44" s="2" t="n">
        <v>35</v>
      </c>
      <c r="E44" s="3" t="s">
        <v>162</v>
      </c>
      <c r="F44" s="4" t="s">
        <v>12</v>
      </c>
      <c r="G44" s="3" t="s">
        <v>13</v>
      </c>
      <c r="H44" s="4" t="s">
        <v>14</v>
      </c>
    </row>
    <row r="45" customFormat="false" ht="15" hidden="false" customHeight="false" outlineLevel="0" collapsed="false">
      <c r="A45" s="2" t="s">
        <v>163</v>
      </c>
      <c r="B45" s="9"/>
      <c r="C45" s="4" t="s">
        <v>164</v>
      </c>
      <c r="D45" s="2" t="n">
        <v>28</v>
      </c>
      <c r="E45" s="3" t="s">
        <v>112</v>
      </c>
      <c r="F45" s="4" t="s">
        <v>18</v>
      </c>
      <c r="G45" s="3" t="s">
        <v>19</v>
      </c>
      <c r="H45" s="4" t="s">
        <v>20</v>
      </c>
    </row>
    <row r="46" customFormat="false" ht="15" hidden="false" customHeight="false" outlineLevel="0" collapsed="false">
      <c r="A46" s="2" t="s">
        <v>165</v>
      </c>
      <c r="B46" s="9"/>
      <c r="C46" s="4" t="s">
        <v>166</v>
      </c>
      <c r="D46" s="2" t="n">
        <v>30</v>
      </c>
      <c r="E46" s="3" t="s">
        <v>63</v>
      </c>
      <c r="F46" s="4" t="s">
        <v>18</v>
      </c>
      <c r="G46" s="3" t="s">
        <v>19</v>
      </c>
      <c r="H46" s="4" t="s">
        <v>20</v>
      </c>
    </row>
    <row r="47" customFormat="false" ht="29.85" hidden="false" customHeight="false" outlineLevel="0" collapsed="false">
      <c r="A47" s="2" t="s">
        <v>167</v>
      </c>
      <c r="B47" s="9"/>
      <c r="C47" s="2" t="s">
        <v>168</v>
      </c>
      <c r="D47" s="2"/>
      <c r="E47" s="9"/>
      <c r="F47" s="4" t="s">
        <v>157</v>
      </c>
      <c r="G47" s="3" t="s">
        <v>158</v>
      </c>
      <c r="H47" s="4" t="s">
        <v>53</v>
      </c>
    </row>
    <row r="48" customFormat="false" ht="15" hidden="false" customHeight="false" outlineLevel="0" collapsed="false">
      <c r="A48" s="2" t="s">
        <v>169</v>
      </c>
      <c r="B48" s="3" t="s">
        <v>170</v>
      </c>
      <c r="C48" s="4" t="s">
        <v>171</v>
      </c>
      <c r="D48" s="2" t="n">
        <v>43</v>
      </c>
      <c r="E48" s="3" t="s">
        <v>172</v>
      </c>
      <c r="F48" s="4" t="s">
        <v>12</v>
      </c>
      <c r="G48" s="3" t="s">
        <v>13</v>
      </c>
      <c r="H48" s="4" t="s">
        <v>14</v>
      </c>
    </row>
    <row r="49" customFormat="false" ht="15" hidden="false" customHeight="false" outlineLevel="0" collapsed="false">
      <c r="A49" s="2" t="s">
        <v>173</v>
      </c>
      <c r="B49" s="9"/>
      <c r="C49" s="4" t="s">
        <v>174</v>
      </c>
      <c r="D49" s="2"/>
      <c r="E49" s="9"/>
      <c r="F49" s="4" t="s">
        <v>18</v>
      </c>
      <c r="G49" s="3" t="s">
        <v>19</v>
      </c>
      <c r="H49" s="4" t="s">
        <v>20</v>
      </c>
    </row>
    <row r="50" customFormat="false" ht="15" hidden="false" customHeight="false" outlineLevel="0" collapsed="false">
      <c r="A50" s="2" t="s">
        <v>175</v>
      </c>
      <c r="B50" s="9"/>
      <c r="C50" s="4" t="s">
        <v>176</v>
      </c>
      <c r="D50" s="2" t="n">
        <v>62</v>
      </c>
      <c r="E50" s="3" t="s">
        <v>177</v>
      </c>
      <c r="F50" s="4" t="s">
        <v>51</v>
      </c>
      <c r="G50" s="3" t="s">
        <v>52</v>
      </c>
      <c r="H50" s="4" t="s">
        <v>53</v>
      </c>
    </row>
    <row r="51" customFormat="false" ht="15" hidden="false" customHeight="false" outlineLevel="0" collapsed="false">
      <c r="A51" s="2" t="s">
        <v>178</v>
      </c>
      <c r="B51" s="9"/>
      <c r="C51" s="4" t="s">
        <v>179</v>
      </c>
      <c r="D51" s="2" t="n">
        <v>50</v>
      </c>
      <c r="E51" s="9"/>
      <c r="F51" s="4" t="s">
        <v>18</v>
      </c>
      <c r="G51" s="3" t="s">
        <v>19</v>
      </c>
      <c r="H51" s="4" t="s">
        <v>20</v>
      </c>
    </row>
    <row r="52" customFormat="false" ht="15" hidden="false" customHeight="false" outlineLevel="0" collapsed="false">
      <c r="A52" s="2" t="s">
        <v>180</v>
      </c>
      <c r="B52" s="9"/>
      <c r="C52" s="4" t="s">
        <v>181</v>
      </c>
      <c r="D52" s="2" t="n">
        <v>33</v>
      </c>
      <c r="E52" s="3" t="s">
        <v>182</v>
      </c>
      <c r="F52" s="4" t="s">
        <v>59</v>
      </c>
      <c r="G52" s="3" t="s">
        <v>60</v>
      </c>
      <c r="H52" s="4" t="s">
        <v>20</v>
      </c>
    </row>
    <row r="53" customFormat="false" ht="15" hidden="false" customHeight="false" outlineLevel="0" collapsed="false">
      <c r="A53" s="2" t="s">
        <v>183</v>
      </c>
      <c r="B53" s="9"/>
      <c r="C53" s="4" t="s">
        <v>184</v>
      </c>
      <c r="D53" s="2" t="n">
        <v>49</v>
      </c>
      <c r="E53" s="3" t="s">
        <v>185</v>
      </c>
      <c r="F53" s="4" t="s">
        <v>59</v>
      </c>
      <c r="G53" s="3" t="s">
        <v>60</v>
      </c>
      <c r="H53" s="4" t="s">
        <v>20</v>
      </c>
    </row>
    <row r="54" customFormat="false" ht="15" hidden="false" customHeight="false" outlineLevel="0" collapsed="false">
      <c r="A54" s="2" t="s">
        <v>186</v>
      </c>
      <c r="B54" s="9"/>
      <c r="C54" s="4" t="s">
        <v>187</v>
      </c>
      <c r="D54" s="2" t="n">
        <v>68</v>
      </c>
      <c r="E54" s="3" t="s">
        <v>188</v>
      </c>
      <c r="F54" s="4" t="s">
        <v>59</v>
      </c>
      <c r="G54" s="3" t="s">
        <v>60</v>
      </c>
      <c r="H54" s="4" t="s">
        <v>20</v>
      </c>
    </row>
    <row r="55" customFormat="false" ht="29.85" hidden="false" customHeight="false" outlineLevel="0" collapsed="false">
      <c r="A55" s="2" t="s">
        <v>189</v>
      </c>
      <c r="B55" s="9"/>
      <c r="C55" s="4" t="s">
        <v>190</v>
      </c>
      <c r="D55" s="2" t="n">
        <v>54</v>
      </c>
      <c r="E55" s="3" t="s">
        <v>191</v>
      </c>
      <c r="F55" s="4" t="s">
        <v>18</v>
      </c>
      <c r="G55" s="3" t="s">
        <v>19</v>
      </c>
      <c r="H55" s="4" t="s">
        <v>20</v>
      </c>
    </row>
    <row r="56" customFormat="false" ht="15" hidden="false" customHeight="false" outlineLevel="0" collapsed="false">
      <c r="A56" s="2" t="s">
        <v>192</v>
      </c>
      <c r="B56" s="3" t="s">
        <v>193</v>
      </c>
      <c r="C56" s="4" t="s">
        <v>194</v>
      </c>
      <c r="D56" s="2" t="n">
        <v>32</v>
      </c>
      <c r="E56" s="3" t="s">
        <v>195</v>
      </c>
      <c r="F56" s="4" t="s">
        <v>12</v>
      </c>
      <c r="G56" s="3" t="s">
        <v>13</v>
      </c>
      <c r="H56" s="4" t="s">
        <v>14</v>
      </c>
    </row>
    <row r="57" customFormat="false" ht="15" hidden="false" customHeight="false" outlineLevel="0" collapsed="false">
      <c r="A57" s="2" t="s">
        <v>196</v>
      </c>
      <c r="B57" s="9"/>
      <c r="C57" s="4" t="s">
        <v>197</v>
      </c>
      <c r="D57" s="2" t="n">
        <v>40</v>
      </c>
      <c r="E57" s="3" t="s">
        <v>198</v>
      </c>
      <c r="F57" s="4" t="s">
        <v>18</v>
      </c>
      <c r="G57" s="3" t="s">
        <v>19</v>
      </c>
      <c r="H57" s="4" t="s">
        <v>20</v>
      </c>
    </row>
    <row r="58" customFormat="false" ht="15" hidden="false" customHeight="false" outlineLevel="0" collapsed="false">
      <c r="A58" s="2" t="s">
        <v>199</v>
      </c>
      <c r="B58" s="9"/>
      <c r="C58" s="4" t="s">
        <v>200</v>
      </c>
      <c r="D58" s="2" t="n">
        <v>78</v>
      </c>
      <c r="E58" s="3" t="s">
        <v>134</v>
      </c>
      <c r="F58" s="4" t="s">
        <v>51</v>
      </c>
      <c r="G58" s="3" t="s">
        <v>52</v>
      </c>
      <c r="H58" s="4" t="s">
        <v>53</v>
      </c>
    </row>
    <row r="59" customFormat="false" ht="15" hidden="false" customHeight="false" outlineLevel="0" collapsed="false">
      <c r="A59" s="2" t="s">
        <v>201</v>
      </c>
      <c r="B59" s="3" t="s">
        <v>202</v>
      </c>
      <c r="C59" s="4" t="s">
        <v>203</v>
      </c>
      <c r="D59" s="2"/>
      <c r="E59" s="3" t="s">
        <v>185</v>
      </c>
      <c r="F59" s="4" t="s">
        <v>12</v>
      </c>
      <c r="G59" s="3" t="s">
        <v>13</v>
      </c>
      <c r="H59" s="4" t="s">
        <v>14</v>
      </c>
    </row>
    <row r="60" customFormat="false" ht="15" hidden="false" customHeight="false" outlineLevel="0" collapsed="false">
      <c r="A60" s="5" t="s">
        <v>204</v>
      </c>
      <c r="B60" s="6"/>
      <c r="C60" s="7" t="s">
        <v>205</v>
      </c>
      <c r="D60" s="5"/>
      <c r="E60" s="6"/>
      <c r="F60" s="7" t="s">
        <v>37</v>
      </c>
      <c r="G60" s="8" t="s">
        <v>38</v>
      </c>
      <c r="H60" s="7" t="s">
        <v>39</v>
      </c>
    </row>
    <row r="61" customFormat="false" ht="15" hidden="false" customHeight="false" outlineLevel="0" collapsed="false">
      <c r="A61" s="5" t="s">
        <v>206</v>
      </c>
      <c r="B61" s="6"/>
      <c r="C61" s="7" t="s">
        <v>205</v>
      </c>
      <c r="D61" s="5"/>
      <c r="E61" s="6"/>
      <c r="F61" s="7" t="s">
        <v>37</v>
      </c>
      <c r="G61" s="8" t="s">
        <v>38</v>
      </c>
      <c r="H61" s="7" t="s">
        <v>39</v>
      </c>
    </row>
    <row r="62" customFormat="false" ht="15" hidden="false" customHeight="false" outlineLevel="0" collapsed="false">
      <c r="A62" s="2" t="s">
        <v>207</v>
      </c>
      <c r="B62" s="9"/>
      <c r="C62" s="2" t="s">
        <v>208</v>
      </c>
      <c r="D62" s="2" t="n">
        <v>62</v>
      </c>
      <c r="E62" s="3" t="s">
        <v>209</v>
      </c>
      <c r="F62" s="4" t="s">
        <v>210</v>
      </c>
      <c r="G62" s="3" t="s">
        <v>211</v>
      </c>
      <c r="H62" s="4" t="s">
        <v>14</v>
      </c>
    </row>
    <row r="63" customFormat="false" ht="15" hidden="false" customHeight="false" outlineLevel="0" collapsed="false">
      <c r="A63" s="2" t="s">
        <v>212</v>
      </c>
      <c r="B63" s="9"/>
      <c r="C63" s="4" t="s">
        <v>213</v>
      </c>
      <c r="D63" s="2" t="n">
        <v>60</v>
      </c>
      <c r="E63" s="3" t="s">
        <v>214</v>
      </c>
      <c r="F63" s="4" t="s">
        <v>51</v>
      </c>
      <c r="G63" s="3" t="s">
        <v>52</v>
      </c>
      <c r="H63" s="4" t="s">
        <v>53</v>
      </c>
    </row>
  </sheetData>
  <autoFilter ref="A1:H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62"/>
  </cols>
  <sheetData>
    <row r="1" customFormat="false" ht="20.1" hidden="false" customHeight="false" outlineLevel="0" collapsed="false">
      <c r="A1" s="10" t="s">
        <v>215</v>
      </c>
    </row>
    <row r="3" customFormat="false" ht="15" hidden="false" customHeight="false" outlineLevel="0" collapsed="false">
      <c r="A3" s="11" t="s">
        <v>5</v>
      </c>
      <c r="B3" s="11" t="s">
        <v>216</v>
      </c>
      <c r="C3" s="11" t="s">
        <v>217</v>
      </c>
    </row>
    <row r="4" customFormat="false" ht="44" hidden="false" customHeight="false" outlineLevel="0" collapsed="false">
      <c r="A4" s="12" t="s">
        <v>82</v>
      </c>
      <c r="B4" s="13" t="n">
        <f aca="false">COUNTIF(名單分類!F:F,A4)</f>
        <v>2</v>
      </c>
      <c r="C4" s="14" t="s">
        <v>218</v>
      </c>
    </row>
    <row r="5" customFormat="false" ht="29.85" hidden="false" customHeight="false" outlineLevel="0" collapsed="false">
      <c r="A5" s="12" t="s">
        <v>37</v>
      </c>
      <c r="B5" s="13" t="n">
        <f aca="false">COUNTIF(名單分類!F:F,A5)</f>
        <v>5</v>
      </c>
      <c r="C5" s="14" t="s">
        <v>219</v>
      </c>
    </row>
    <row r="6" customFormat="false" ht="29.85" hidden="false" customHeight="false" outlineLevel="0" collapsed="false">
      <c r="A6" s="12" t="s">
        <v>12</v>
      </c>
      <c r="B6" s="13" t="n">
        <f aca="false">COUNTIF(名單分類!F:F,A6)</f>
        <v>19</v>
      </c>
      <c r="C6" s="14" t="s">
        <v>220</v>
      </c>
    </row>
    <row r="7" customFormat="false" ht="29.85" hidden="false" customHeight="false" outlineLevel="0" collapsed="false">
      <c r="A7" s="12" t="s">
        <v>157</v>
      </c>
      <c r="B7" s="13" t="n">
        <f aca="false">COUNTIF(名單分類!F:F,A7)</f>
        <v>2</v>
      </c>
      <c r="C7" s="14" t="s">
        <v>221</v>
      </c>
    </row>
    <row r="8" customFormat="false" ht="15" hidden="false" customHeight="false" outlineLevel="0" collapsed="false">
      <c r="A8" s="12" t="s">
        <v>51</v>
      </c>
      <c r="B8" s="13" t="n">
        <f aca="false">COUNTIF(名單分類!F:F,A8)</f>
        <v>5</v>
      </c>
      <c r="C8" s="14" t="s">
        <v>222</v>
      </c>
    </row>
    <row r="9" customFormat="false" ht="15" hidden="false" customHeight="false" outlineLevel="0" collapsed="false">
      <c r="A9" s="12" t="s">
        <v>59</v>
      </c>
      <c r="B9" s="13" t="n">
        <f aca="false">COUNTIF(名單分類!F:F,A9)</f>
        <v>4</v>
      </c>
      <c r="C9" s="14" t="s">
        <v>223</v>
      </c>
    </row>
    <row r="10" customFormat="false" ht="15" hidden="false" customHeight="false" outlineLevel="0" collapsed="false">
      <c r="A10" s="12" t="s">
        <v>18</v>
      </c>
      <c r="B10" s="13" t="n">
        <f aca="false">COUNTIF(名單分類!F:F,A10)</f>
        <v>21</v>
      </c>
      <c r="C10" s="14" t="s">
        <v>224</v>
      </c>
    </row>
    <row r="11" customFormat="false" ht="15" hidden="false" customHeight="false" outlineLevel="0" collapsed="false">
      <c r="A11" s="12" t="s">
        <v>27</v>
      </c>
      <c r="B11" s="13" t="n">
        <f aca="false">COUNTIF(名單分類!F:F,A11)</f>
        <v>1</v>
      </c>
      <c r="C11" s="14" t="s">
        <v>225</v>
      </c>
    </row>
    <row r="12" customFormat="false" ht="15" hidden="false" customHeight="false" outlineLevel="0" collapsed="false">
      <c r="A12" s="12" t="s">
        <v>210</v>
      </c>
      <c r="B12" s="13" t="n">
        <f aca="false">COUNTIF(名單分類!F:F,A12)</f>
        <v>1</v>
      </c>
      <c r="C12" s="15" t="s">
        <v>226</v>
      </c>
    </row>
    <row r="13" customFormat="false" ht="15" hidden="false" customHeight="false" outlineLevel="0" collapsed="false">
      <c r="A13" s="12" t="s">
        <v>94</v>
      </c>
      <c r="B13" s="13" t="n">
        <f aca="false">COUNTIF(名單分類!F:F,A13)</f>
        <v>2</v>
      </c>
      <c r="C13" s="15" t="s">
        <v>227</v>
      </c>
    </row>
    <row r="14" customFormat="false" ht="15" hidden="false" customHeight="false" outlineLevel="0" collapsed="false">
      <c r="A14" s="12" t="s">
        <v>228</v>
      </c>
      <c r="B14" s="13" t="n">
        <f aca="false">COUNTIF(名單分類!F:F,A14)</f>
        <v>0</v>
      </c>
      <c r="C14" s="14" t="s">
        <v>229</v>
      </c>
    </row>
    <row r="15" customFormat="false" ht="15" hidden="false" customHeight="false" outlineLevel="0" collapsed="false">
      <c r="A15" s="16" t="s">
        <v>230</v>
      </c>
      <c r="B15" s="17" t="n">
        <f aca="false">SUM(B4:B14)</f>
        <v>62</v>
      </c>
    </row>
    <row r="17" customFormat="false" ht="20.1" hidden="false" customHeight="false" outlineLevel="0" collapsed="false">
      <c r="A17" s="10" t="s">
        <v>231</v>
      </c>
    </row>
    <row r="18" customFormat="false" ht="15" hidden="false" customHeight="false" outlineLevel="0" collapsed="false">
      <c r="A18" s="18" t="s">
        <v>232</v>
      </c>
      <c r="B18" s="19" t="s">
        <v>233</v>
      </c>
      <c r="C18" s="19"/>
    </row>
    <row r="19" customFormat="false" ht="15" hidden="false" customHeight="false" outlineLevel="0" collapsed="false">
      <c r="A19" s="18" t="s">
        <v>232</v>
      </c>
      <c r="B19" s="19" t="s">
        <v>234</v>
      </c>
      <c r="C19" s="19"/>
    </row>
    <row r="20" customFormat="false" ht="15" hidden="false" customHeight="false" outlineLevel="0" collapsed="false">
      <c r="A20" s="18" t="s">
        <v>232</v>
      </c>
      <c r="B20" s="19" t="s">
        <v>235</v>
      </c>
      <c r="C20" s="19"/>
    </row>
    <row r="21" customFormat="false" ht="15" hidden="false" customHeight="false" outlineLevel="0" collapsed="false">
      <c r="A21" s="18" t="s">
        <v>232</v>
      </c>
      <c r="B21" s="19" t="s">
        <v>236</v>
      </c>
      <c r="C21" s="19"/>
    </row>
    <row r="22" customFormat="false" ht="15" hidden="false" customHeight="false" outlineLevel="0" collapsed="false">
      <c r="A22" s="18" t="s">
        <v>232</v>
      </c>
      <c r="B22" s="19" t="s">
        <v>237</v>
      </c>
      <c r="C22" s="19"/>
    </row>
  </sheetData>
  <mergeCells count="5">
    <mergeCell ref="B18:C18"/>
    <mergeCell ref="B19:C19"/>
    <mergeCell ref="B20:C20"/>
    <mergeCell ref="B21:C21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2026-09-02T04:05:18Z</dcterms:created>
  <dc:creator>openpyxl</dc:creator>
  <dc:description/>
  <dc:language>en-US</dc:language>
  <cp:lastModifiedBy/>
  <dcterms:modified xsi:type="dcterms:W3CDTF">2026-09-02T04:05:18Z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